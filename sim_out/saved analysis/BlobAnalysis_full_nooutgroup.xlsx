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006512736/Library/CloudStorage/OneDrive-CaliforniaStateUniversitySanBernardino/Documents/ToBolivier/R/Pipeline/CleanPipeline-thirdv2/sim_out/"/>
    </mc:Choice>
  </mc:AlternateContent>
  <xr:revisionPtr revIDLastSave="0" documentId="13_ncr:1_{5B87A346-3206-3D42-83D8-B926FB99A99F}" xr6:coauthVersionLast="47" xr6:coauthVersionMax="47" xr10:uidLastSave="{00000000-0000-0000-0000-000000000000}"/>
  <bookViews>
    <workbookView xWindow="0" yWindow="600" windowWidth="38400" windowHeight="17840" xr2:uid="{00000000-000D-0000-FFFF-FFFF00000000}"/>
  </bookViews>
  <sheets>
    <sheet name="Mat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2" i="1" l="1"/>
  <c r="A202" i="1"/>
  <c r="AF204" i="1"/>
  <c r="AC204" i="1"/>
  <c r="Z204" i="1"/>
  <c r="AF203" i="1"/>
  <c r="AC203" i="1"/>
  <c r="Z203" i="1"/>
  <c r="AF201" i="1"/>
  <c r="AE201" i="1"/>
  <c r="AC201" i="1"/>
  <c r="AB201" i="1"/>
  <c r="AA201" i="1"/>
  <c r="Z201" i="1"/>
  <c r="Y201" i="1"/>
  <c r="W201" i="1"/>
  <c r="V201" i="1"/>
  <c r="T201" i="1"/>
  <c r="S201" i="1"/>
  <c r="Q201" i="1"/>
  <c r="P201" i="1"/>
  <c r="O201" i="1"/>
  <c r="N201" i="1"/>
  <c r="M201" i="1"/>
  <c r="K201" i="1"/>
  <c r="J201" i="1"/>
  <c r="B201" i="1"/>
  <c r="AF4" i="1"/>
  <c r="AE4" i="1"/>
  <c r="AC4" i="1"/>
  <c r="AB4" i="1"/>
  <c r="AA4" i="1"/>
  <c r="Z4" i="1"/>
  <c r="Y4" i="1"/>
  <c r="W4" i="1"/>
  <c r="V4" i="1"/>
  <c r="T4" i="1"/>
  <c r="S4" i="1"/>
  <c r="Q4" i="1"/>
  <c r="P4" i="1"/>
  <c r="O4" i="1"/>
  <c r="N4" i="1"/>
  <c r="M4" i="1"/>
  <c r="K4" i="1"/>
  <c r="J4" i="1"/>
  <c r="B4" i="1"/>
  <c r="A4" i="1"/>
  <c r="AF15" i="1"/>
  <c r="AE15" i="1"/>
  <c r="AC15" i="1"/>
  <c r="AB15" i="1"/>
  <c r="AA15" i="1"/>
  <c r="Z15" i="1"/>
  <c r="Y15" i="1"/>
  <c r="W15" i="1"/>
  <c r="V15" i="1"/>
  <c r="T15" i="1"/>
  <c r="S15" i="1"/>
  <c r="Q15" i="1"/>
  <c r="P15" i="1"/>
  <c r="O15" i="1"/>
  <c r="N15" i="1"/>
  <c r="M15" i="1"/>
  <c r="K15" i="1"/>
  <c r="J15" i="1"/>
  <c r="B15" i="1"/>
  <c r="A15" i="1"/>
  <c r="AF25" i="1"/>
  <c r="AE25" i="1"/>
  <c r="AC25" i="1"/>
  <c r="AB25" i="1"/>
  <c r="AA25" i="1"/>
  <c r="Z25" i="1"/>
  <c r="Y25" i="1"/>
  <c r="W25" i="1"/>
  <c r="V25" i="1"/>
  <c r="T25" i="1"/>
  <c r="S25" i="1"/>
  <c r="Q25" i="1"/>
  <c r="P25" i="1"/>
  <c r="O25" i="1"/>
  <c r="N25" i="1"/>
  <c r="M25" i="1"/>
  <c r="K25" i="1"/>
  <c r="J25" i="1"/>
  <c r="B25" i="1"/>
  <c r="A25" i="1"/>
  <c r="AF36" i="1"/>
  <c r="AE36" i="1"/>
  <c r="AC36" i="1"/>
  <c r="AB36" i="1"/>
  <c r="AA36" i="1"/>
  <c r="Z36" i="1"/>
  <c r="Y36" i="1"/>
  <c r="W36" i="1"/>
  <c r="V36" i="1"/>
  <c r="T36" i="1"/>
  <c r="S36" i="1"/>
  <c r="Q36" i="1"/>
  <c r="P36" i="1"/>
  <c r="O36" i="1"/>
  <c r="N36" i="1"/>
  <c r="M36" i="1"/>
  <c r="K36" i="1"/>
  <c r="J36" i="1"/>
  <c r="B36" i="1"/>
  <c r="A36" i="1"/>
  <c r="AF46" i="1"/>
  <c r="AE46" i="1"/>
  <c r="AC46" i="1"/>
  <c r="AB46" i="1"/>
  <c r="AA46" i="1"/>
  <c r="Z46" i="1"/>
  <c r="Y46" i="1"/>
  <c r="W46" i="1"/>
  <c r="V46" i="1"/>
  <c r="T46" i="1"/>
  <c r="S46" i="1"/>
  <c r="Q46" i="1"/>
  <c r="P46" i="1"/>
  <c r="O46" i="1"/>
  <c r="N46" i="1"/>
  <c r="M46" i="1"/>
  <c r="K46" i="1"/>
  <c r="J46" i="1"/>
  <c r="B46" i="1"/>
  <c r="A46" i="1"/>
  <c r="AF55" i="1"/>
  <c r="AE55" i="1"/>
  <c r="AC55" i="1"/>
  <c r="AB55" i="1"/>
  <c r="AA55" i="1"/>
  <c r="Z55" i="1"/>
  <c r="Y55" i="1"/>
  <c r="W55" i="1"/>
  <c r="V55" i="1"/>
  <c r="T55" i="1"/>
  <c r="S55" i="1"/>
  <c r="Q55" i="1"/>
  <c r="P55" i="1"/>
  <c r="O55" i="1"/>
  <c r="N55" i="1"/>
  <c r="M55" i="1"/>
  <c r="K55" i="1"/>
  <c r="J55" i="1"/>
  <c r="B55" i="1"/>
  <c r="A55" i="1"/>
  <c r="AF65" i="1"/>
  <c r="AE65" i="1"/>
  <c r="AC65" i="1"/>
  <c r="AB65" i="1"/>
  <c r="AA65" i="1"/>
  <c r="Z65" i="1"/>
  <c r="Y65" i="1"/>
  <c r="W65" i="1"/>
  <c r="V65" i="1"/>
  <c r="T65" i="1"/>
  <c r="S65" i="1"/>
  <c r="Q65" i="1"/>
  <c r="P65" i="1"/>
  <c r="O65" i="1"/>
  <c r="N65" i="1"/>
  <c r="M65" i="1"/>
  <c r="K65" i="1"/>
  <c r="J65" i="1"/>
  <c r="B65" i="1"/>
  <c r="A65" i="1"/>
  <c r="AF76" i="1"/>
  <c r="AE76" i="1"/>
  <c r="AC76" i="1"/>
  <c r="AB76" i="1"/>
  <c r="AA76" i="1"/>
  <c r="Z76" i="1"/>
  <c r="Y76" i="1"/>
  <c r="W76" i="1"/>
  <c r="V76" i="1"/>
  <c r="T76" i="1"/>
  <c r="S76" i="1"/>
  <c r="Q76" i="1"/>
  <c r="P76" i="1"/>
  <c r="O76" i="1"/>
  <c r="N76" i="1"/>
  <c r="M76" i="1"/>
  <c r="K76" i="1"/>
  <c r="J76" i="1"/>
  <c r="B76" i="1"/>
  <c r="A76" i="1"/>
  <c r="AF87" i="1"/>
  <c r="AE87" i="1"/>
  <c r="AC87" i="1"/>
  <c r="AB87" i="1"/>
  <c r="AA87" i="1"/>
  <c r="Z87" i="1"/>
  <c r="Y87" i="1"/>
  <c r="W87" i="1"/>
  <c r="V87" i="1"/>
  <c r="T87" i="1"/>
  <c r="S87" i="1"/>
  <c r="Q87" i="1"/>
  <c r="P87" i="1"/>
  <c r="O87" i="1"/>
  <c r="N87" i="1"/>
  <c r="M87" i="1"/>
  <c r="K87" i="1"/>
  <c r="J87" i="1"/>
  <c r="B87" i="1"/>
  <c r="A87" i="1"/>
  <c r="AF96" i="1"/>
  <c r="AE96" i="1"/>
  <c r="AC96" i="1"/>
  <c r="AB96" i="1"/>
  <c r="AA96" i="1"/>
  <c r="Z96" i="1"/>
  <c r="Y96" i="1"/>
  <c r="W96" i="1"/>
  <c r="V96" i="1"/>
  <c r="T96" i="1"/>
  <c r="S96" i="1"/>
  <c r="Q96" i="1"/>
  <c r="P96" i="1"/>
  <c r="O96" i="1"/>
  <c r="N96" i="1"/>
  <c r="M96" i="1"/>
  <c r="K96" i="1"/>
  <c r="J96" i="1"/>
  <c r="B96" i="1"/>
  <c r="A96" i="1"/>
  <c r="AF106" i="1"/>
  <c r="AE106" i="1"/>
  <c r="AC106" i="1"/>
  <c r="AB106" i="1"/>
  <c r="AA106" i="1"/>
  <c r="Z106" i="1"/>
  <c r="Y106" i="1"/>
  <c r="W106" i="1"/>
  <c r="V106" i="1"/>
  <c r="T106" i="1"/>
  <c r="S106" i="1"/>
  <c r="Q106" i="1"/>
  <c r="P106" i="1"/>
  <c r="O106" i="1"/>
  <c r="N106" i="1"/>
  <c r="M106" i="1"/>
  <c r="K106" i="1"/>
  <c r="J106" i="1"/>
  <c r="B106" i="1"/>
  <c r="A106" i="1"/>
  <c r="AF116" i="1"/>
  <c r="AE116" i="1"/>
  <c r="AC116" i="1"/>
  <c r="AB116" i="1"/>
  <c r="AA116" i="1"/>
  <c r="Z116" i="1"/>
  <c r="Y116" i="1"/>
  <c r="W116" i="1"/>
  <c r="V116" i="1"/>
  <c r="T116" i="1"/>
  <c r="S116" i="1"/>
  <c r="Q116" i="1"/>
  <c r="P116" i="1"/>
  <c r="O116" i="1"/>
  <c r="N116" i="1"/>
  <c r="M116" i="1"/>
  <c r="K116" i="1"/>
  <c r="J116" i="1"/>
  <c r="B116" i="1"/>
  <c r="A116" i="1"/>
  <c r="AF125" i="1"/>
  <c r="AE125" i="1"/>
  <c r="AC125" i="1"/>
  <c r="AB125" i="1"/>
  <c r="AA125" i="1"/>
  <c r="Z125" i="1"/>
  <c r="Y125" i="1"/>
  <c r="W125" i="1"/>
  <c r="V125" i="1"/>
  <c r="T125" i="1"/>
  <c r="S125" i="1"/>
  <c r="Q125" i="1"/>
  <c r="P125" i="1"/>
  <c r="O125" i="1"/>
  <c r="N125" i="1"/>
  <c r="M125" i="1"/>
  <c r="K125" i="1"/>
  <c r="J125" i="1"/>
  <c r="B125" i="1"/>
  <c r="A125" i="1"/>
  <c r="AF135" i="1"/>
  <c r="AE135" i="1"/>
  <c r="AC135" i="1"/>
  <c r="AB135" i="1"/>
  <c r="AA135" i="1"/>
  <c r="Z135" i="1"/>
  <c r="Y135" i="1"/>
  <c r="W135" i="1"/>
  <c r="V135" i="1"/>
  <c r="T135" i="1"/>
  <c r="S135" i="1"/>
  <c r="Q135" i="1"/>
  <c r="P135" i="1"/>
  <c r="O135" i="1"/>
  <c r="N135" i="1"/>
  <c r="M135" i="1"/>
  <c r="K135" i="1"/>
  <c r="J135" i="1"/>
  <c r="B135" i="1"/>
  <c r="A135" i="1"/>
  <c r="AF145" i="1"/>
  <c r="AE145" i="1"/>
  <c r="AC145" i="1"/>
  <c r="AB145" i="1"/>
  <c r="AA145" i="1"/>
  <c r="Z145" i="1"/>
  <c r="Y145" i="1"/>
  <c r="W145" i="1"/>
  <c r="V145" i="1"/>
  <c r="T145" i="1"/>
  <c r="S145" i="1"/>
  <c r="Q145" i="1"/>
  <c r="P145" i="1"/>
  <c r="O145" i="1"/>
  <c r="N145" i="1"/>
  <c r="M145" i="1"/>
  <c r="K145" i="1"/>
  <c r="J145" i="1"/>
  <c r="B145" i="1"/>
  <c r="A145" i="1"/>
  <c r="AF154" i="1"/>
  <c r="AE154" i="1"/>
  <c r="AC154" i="1"/>
  <c r="AB154" i="1"/>
  <c r="AA154" i="1"/>
  <c r="Z154" i="1"/>
  <c r="Y154" i="1"/>
  <c r="W154" i="1"/>
  <c r="V154" i="1"/>
  <c r="T154" i="1"/>
  <c r="S154" i="1"/>
  <c r="Q154" i="1"/>
  <c r="P154" i="1"/>
  <c r="O154" i="1"/>
  <c r="N154" i="1"/>
  <c r="M154" i="1"/>
  <c r="K154" i="1"/>
  <c r="J154" i="1"/>
  <c r="B154" i="1"/>
  <c r="A154" i="1"/>
  <c r="AF163" i="1"/>
  <c r="AE163" i="1"/>
  <c r="AC163" i="1"/>
  <c r="AB163" i="1"/>
  <c r="AA163" i="1"/>
  <c r="Z163" i="1"/>
  <c r="Y163" i="1"/>
  <c r="W163" i="1"/>
  <c r="V163" i="1"/>
  <c r="T163" i="1"/>
  <c r="S163" i="1"/>
  <c r="Q163" i="1"/>
  <c r="P163" i="1"/>
  <c r="O163" i="1"/>
  <c r="N163" i="1"/>
  <c r="M163" i="1"/>
  <c r="K163" i="1"/>
  <c r="J163" i="1"/>
  <c r="B163" i="1"/>
  <c r="A163" i="1"/>
  <c r="AF173" i="1"/>
  <c r="AE173" i="1"/>
  <c r="AC173" i="1"/>
  <c r="AB173" i="1"/>
  <c r="AA173" i="1"/>
  <c r="Z173" i="1"/>
  <c r="Y173" i="1"/>
  <c r="W173" i="1"/>
  <c r="V173" i="1"/>
  <c r="T173" i="1"/>
  <c r="S173" i="1"/>
  <c r="Q173" i="1"/>
  <c r="P173" i="1"/>
  <c r="O173" i="1"/>
  <c r="N173" i="1"/>
  <c r="M173" i="1"/>
  <c r="K173" i="1"/>
  <c r="J173" i="1"/>
  <c r="B173" i="1"/>
  <c r="A173" i="1"/>
  <c r="AF183" i="1"/>
  <c r="AE183" i="1"/>
  <c r="AC183" i="1"/>
  <c r="AB183" i="1"/>
  <c r="AA183" i="1"/>
  <c r="Z183" i="1"/>
  <c r="Y183" i="1"/>
  <c r="W183" i="1"/>
  <c r="V183" i="1"/>
  <c r="T183" i="1"/>
  <c r="S183" i="1"/>
  <c r="Q183" i="1"/>
  <c r="P183" i="1"/>
  <c r="O183" i="1"/>
  <c r="N183" i="1"/>
  <c r="M183" i="1"/>
  <c r="K183" i="1"/>
  <c r="J183" i="1"/>
  <c r="B183" i="1"/>
  <c r="A183" i="1"/>
  <c r="B193" i="1"/>
  <c r="AF193" i="1"/>
  <c r="AE193" i="1"/>
  <c r="AC193" i="1"/>
  <c r="AB193" i="1"/>
  <c r="AA193" i="1"/>
  <c r="Z193" i="1"/>
  <c r="Y193" i="1"/>
  <c r="W193" i="1"/>
  <c r="V193" i="1"/>
  <c r="T193" i="1"/>
  <c r="S193" i="1"/>
  <c r="Q193" i="1"/>
  <c r="P193" i="1"/>
  <c r="O193" i="1"/>
  <c r="N193" i="1"/>
  <c r="M193" i="1"/>
  <c r="K193" i="1"/>
  <c r="J193" i="1"/>
  <c r="A193" i="1"/>
  <c r="A201" i="1" l="1"/>
</calcChain>
</file>

<file path=xl/sharedStrings.xml><?xml version="1.0" encoding="utf-8"?>
<sst xmlns="http://schemas.openxmlformats.org/spreadsheetml/2006/main" count="800" uniqueCount="11">
  <si>
    <t/>
  </si>
  <si>
    <t>Blob</t>
  </si>
  <si>
    <t>Circular ord</t>
  </si>
  <si>
    <t>Hybrid</t>
  </si>
  <si>
    <t>Network</t>
  </si>
  <si>
    <t>Blob size</t>
  </si>
  <si>
    <t>TS</t>
  </si>
  <si>
    <t>BP</t>
  </si>
  <si>
    <t>TS vs True Tob</t>
  </si>
  <si>
    <t>TS vs True Net</t>
  </si>
  <si>
    <t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</si>
</sst>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F204"/>
  <sheetViews>
    <sheetView tabSelected="1" workbookViewId="0">
      <selection activeCell="AA211" sqref="AA211"/>
    </sheetView>
  </sheetViews>
  <sheetFormatPr baseColWidth="10" defaultRowHeight="15" x14ac:dyDescent="0.2"/>
  <sheetData>
    <row r="4" spans="1:32" x14ac:dyDescent="0.2">
      <c r="A4">
        <f>COUNT(A6:A10)</f>
        <v>4</v>
      </c>
      <c r="B4">
        <f>COUNTIF(B6:B10,"&gt;4")</f>
        <v>1</v>
      </c>
      <c r="C4" t="s">
        <v>1</v>
      </c>
      <c r="D4" t="s">
        <v>0</v>
      </c>
      <c r="E4" t="s">
        <v>2</v>
      </c>
      <c r="F4" t="s">
        <v>0</v>
      </c>
      <c r="G4" t="s">
        <v>3</v>
      </c>
      <c r="H4" t="s">
        <v>0</v>
      </c>
      <c r="I4" t="s">
        <v>0</v>
      </c>
      <c r="J4">
        <f>COUNT(J6:J10)</f>
        <v>5</v>
      </c>
      <c r="K4">
        <f>COUNTIF(K6:K10,"&gt;4")</f>
        <v>1</v>
      </c>
      <c r="M4">
        <f>COUNTIF(M6:M10,1)</f>
        <v>0</v>
      </c>
      <c r="N4">
        <f>COUNTIF(N6:N10,1)</f>
        <v>4</v>
      </c>
      <c r="O4">
        <f>COUNTIF(O6:O10,"&gt;0")</f>
        <v>5</v>
      </c>
      <c r="P4">
        <f>COUNTIF(P6:P10,1)</f>
        <v>0</v>
      </c>
      <c r="Q4">
        <f>COUNTIF(Q6:Q10,1)</f>
        <v>4</v>
      </c>
      <c r="S4">
        <f>COUNTIF(S6:S10,1)</f>
        <v>0</v>
      </c>
      <c r="T4">
        <f>COUNTIFS(T6:T10,1,K6:K10,"&gt;4")</f>
        <v>1</v>
      </c>
      <c r="U4" t="s">
        <v>0</v>
      </c>
      <c r="V4">
        <f>COUNT(V6:V10)</f>
        <v>4</v>
      </c>
      <c r="W4">
        <f>COUNTIF(W6:W10,"&gt;4")</f>
        <v>1</v>
      </c>
      <c r="Y4">
        <f>COUNTIF(Y6:Y10,1)</f>
        <v>0</v>
      </c>
      <c r="Z4">
        <f>COUNTIF(Z6:Z10,1)</f>
        <v>4</v>
      </c>
      <c r="AA4">
        <f>COUNTIF(AA6:AA10,"&gt;0")</f>
        <v>4</v>
      </c>
      <c r="AB4">
        <f>COUNTIF(AB6:AB10,1)</f>
        <v>0</v>
      </c>
      <c r="AC4">
        <f>COUNTIF(AC6:AC10,1)</f>
        <v>4</v>
      </c>
      <c r="AE4">
        <f>COUNTIF(AE6:AE10,1)</f>
        <v>0</v>
      </c>
      <c r="AF4">
        <f>COUNTIFS(AF6:AF10,1,W6:W10,"&gt;4")</f>
        <v>1</v>
      </c>
    </row>
    <row r="5" spans="1:32" x14ac:dyDescent="0.2">
      <c r="A5" t="s">
        <v>4</v>
      </c>
      <c r="B5" t="s">
        <v>5</v>
      </c>
      <c r="C5" t="s">
        <v>6</v>
      </c>
      <c r="D5" t="s">
        <v>7</v>
      </c>
      <c r="E5" t="s">
        <v>6</v>
      </c>
      <c r="F5" t="s">
        <v>7</v>
      </c>
      <c r="G5" t="s">
        <v>6</v>
      </c>
      <c r="H5" t="s">
        <v>7</v>
      </c>
      <c r="I5" t="s">
        <v>0</v>
      </c>
      <c r="J5" t="s">
        <v>4</v>
      </c>
      <c r="K5" t="s">
        <v>5</v>
      </c>
      <c r="L5" t="s">
        <v>6</v>
      </c>
      <c r="M5" t="s">
        <v>7</v>
      </c>
      <c r="N5" t="s">
        <v>8</v>
      </c>
      <c r="O5" t="s">
        <v>6</v>
      </c>
      <c r="P5" t="s">
        <v>7</v>
      </c>
      <c r="Q5" t="s">
        <v>9</v>
      </c>
      <c r="R5" t="s">
        <v>6</v>
      </c>
      <c r="S5" t="s">
        <v>7</v>
      </c>
      <c r="T5" t="s">
        <v>8</v>
      </c>
      <c r="U5" t="s">
        <v>0</v>
      </c>
      <c r="V5" t="s">
        <v>10</v>
      </c>
      <c r="W5" t="s">
        <v>5</v>
      </c>
      <c r="X5" t="s">
        <v>6</v>
      </c>
      <c r="Y5" t="s">
        <v>7</v>
      </c>
      <c r="Z5" t="s">
        <v>8</v>
      </c>
      <c r="AA5" t="s">
        <v>6</v>
      </c>
      <c r="AB5" t="s">
        <v>7</v>
      </c>
      <c r="AC5" t="s">
        <v>8</v>
      </c>
      <c r="AD5" t="s">
        <v>6</v>
      </c>
      <c r="AE5" t="s">
        <v>7</v>
      </c>
      <c r="AF5" t="s">
        <v>8</v>
      </c>
    </row>
    <row r="6" spans="1:32" x14ac:dyDescent="0.2">
      <c r="A6">
        <v>1</v>
      </c>
      <c r="B6">
        <v>4</v>
      </c>
      <c r="C6">
        <v>0.97899999999999998</v>
      </c>
      <c r="D6">
        <v>0.93</v>
      </c>
      <c r="E6">
        <v>0.97899999999999998</v>
      </c>
      <c r="F6">
        <v>0.93</v>
      </c>
      <c r="G6">
        <v>4.8000000000000001E-2</v>
      </c>
      <c r="H6">
        <v>0</v>
      </c>
      <c r="J6">
        <v>1</v>
      </c>
      <c r="K6">
        <v>4</v>
      </c>
      <c r="L6">
        <v>0.97899999999999998</v>
      </c>
      <c r="M6">
        <v>0.93</v>
      </c>
      <c r="N6">
        <v>1</v>
      </c>
      <c r="O6">
        <v>0.97899999999999998</v>
      </c>
      <c r="P6">
        <v>0.93</v>
      </c>
      <c r="Q6">
        <v>1</v>
      </c>
      <c r="R6">
        <v>0.91100000000000003</v>
      </c>
      <c r="S6">
        <v>0.91</v>
      </c>
      <c r="T6">
        <v>0</v>
      </c>
      <c r="V6">
        <v>1</v>
      </c>
      <c r="W6">
        <v>4</v>
      </c>
      <c r="X6">
        <v>0.97899999999999998</v>
      </c>
      <c r="Y6">
        <v>0.93</v>
      </c>
      <c r="Z6">
        <v>1</v>
      </c>
      <c r="AA6">
        <v>0.97899999999999998</v>
      </c>
      <c r="AB6">
        <v>0.93</v>
      </c>
      <c r="AC6">
        <v>1</v>
      </c>
      <c r="AD6">
        <v>0.91100000000000003</v>
      </c>
      <c r="AE6">
        <v>0.91</v>
      </c>
      <c r="AF6">
        <v>0</v>
      </c>
    </row>
    <row r="7" spans="1:32" x14ac:dyDescent="0.2">
      <c r="A7">
        <v>2</v>
      </c>
      <c r="B7">
        <v>4</v>
      </c>
      <c r="C7">
        <v>0.94199999999999995</v>
      </c>
      <c r="D7">
        <v>0.83</v>
      </c>
      <c r="E7">
        <v>0.94199999999999995</v>
      </c>
      <c r="F7">
        <v>0.83</v>
      </c>
      <c r="G7">
        <v>0.33700000000000002</v>
      </c>
      <c r="H7">
        <v>0</v>
      </c>
      <c r="J7">
        <v>2</v>
      </c>
      <c r="K7">
        <v>4</v>
      </c>
      <c r="L7">
        <v>0.94199999999999995</v>
      </c>
      <c r="M7">
        <v>0.83</v>
      </c>
      <c r="N7">
        <v>1</v>
      </c>
      <c r="O7">
        <v>0.94199999999999995</v>
      </c>
      <c r="P7">
        <v>0.83</v>
      </c>
      <c r="Q7">
        <v>1</v>
      </c>
      <c r="R7">
        <v>0.83699999999999997</v>
      </c>
      <c r="S7">
        <v>0.83</v>
      </c>
      <c r="T7">
        <v>0</v>
      </c>
      <c r="V7">
        <v>2</v>
      </c>
      <c r="W7">
        <v>4</v>
      </c>
      <c r="X7">
        <v>0.94199999999999995</v>
      </c>
      <c r="Y7">
        <v>0.83</v>
      </c>
      <c r="Z7">
        <v>1</v>
      </c>
      <c r="AA7">
        <v>0.94199999999999995</v>
      </c>
      <c r="AB7">
        <v>0.83</v>
      </c>
      <c r="AC7">
        <v>1</v>
      </c>
      <c r="AD7">
        <v>0.83699999999999997</v>
      </c>
      <c r="AE7">
        <v>0.83</v>
      </c>
      <c r="AF7">
        <v>0</v>
      </c>
    </row>
    <row r="8" spans="1:32" x14ac:dyDescent="0.2">
      <c r="A8">
        <v>3</v>
      </c>
      <c r="B8">
        <v>4</v>
      </c>
      <c r="C8">
        <v>0.99099999999999999</v>
      </c>
      <c r="D8">
        <v>0.96</v>
      </c>
      <c r="E8">
        <v>0.99099999999999999</v>
      </c>
      <c r="F8">
        <v>0.96</v>
      </c>
      <c r="G8">
        <v>3.5999999999999997E-2</v>
      </c>
      <c r="H8">
        <v>0.01</v>
      </c>
      <c r="J8">
        <v>3</v>
      </c>
      <c r="K8">
        <v>4</v>
      </c>
      <c r="L8">
        <v>0.99099999999999999</v>
      </c>
      <c r="M8">
        <v>0.96</v>
      </c>
      <c r="N8">
        <v>1</v>
      </c>
      <c r="O8">
        <v>0.99099999999999999</v>
      </c>
      <c r="P8">
        <v>0.96</v>
      </c>
      <c r="Q8">
        <v>1</v>
      </c>
      <c r="R8">
        <v>0.44900000000000001</v>
      </c>
      <c r="S8">
        <v>0.22</v>
      </c>
      <c r="T8">
        <v>0.5</v>
      </c>
      <c r="V8">
        <v>3</v>
      </c>
      <c r="W8">
        <v>4</v>
      </c>
      <c r="X8">
        <v>0.99099999999999999</v>
      </c>
      <c r="Y8">
        <v>0.96</v>
      </c>
      <c r="Z8">
        <v>1</v>
      </c>
      <c r="AA8">
        <v>0.99099999999999999</v>
      </c>
      <c r="AB8">
        <v>0.96</v>
      </c>
      <c r="AC8">
        <v>1</v>
      </c>
      <c r="AD8">
        <v>0.753</v>
      </c>
      <c r="AE8">
        <v>0.75</v>
      </c>
      <c r="AF8">
        <v>0</v>
      </c>
    </row>
    <row r="9" spans="1:32" x14ac:dyDescent="0.2">
      <c r="A9">
        <v>4</v>
      </c>
      <c r="B9">
        <v>5</v>
      </c>
      <c r="C9">
        <v>0.97699999999999998</v>
      </c>
      <c r="D9">
        <v>0.54</v>
      </c>
      <c r="E9">
        <v>0.97699999999999998</v>
      </c>
      <c r="F9">
        <v>0.54</v>
      </c>
      <c r="G9">
        <v>0.499</v>
      </c>
      <c r="H9">
        <v>0.49</v>
      </c>
      <c r="J9">
        <v>4</v>
      </c>
      <c r="K9">
        <v>4</v>
      </c>
      <c r="L9">
        <v>0.85099999999999998</v>
      </c>
      <c r="M9">
        <v>0.35</v>
      </c>
      <c r="N9">
        <v>0.76200000000000001</v>
      </c>
      <c r="O9">
        <v>0.85</v>
      </c>
      <c r="P9">
        <v>0.34</v>
      </c>
      <c r="Q9">
        <v>0.76200000000000001</v>
      </c>
      <c r="R9">
        <v>0.33400000000000002</v>
      </c>
      <c r="S9">
        <v>0.3</v>
      </c>
      <c r="T9">
        <v>0.28599999999999998</v>
      </c>
      <c r="V9">
        <v>4</v>
      </c>
      <c r="W9">
        <v>5</v>
      </c>
      <c r="X9">
        <v>0.97699999999999998</v>
      </c>
      <c r="Y9">
        <v>0.54</v>
      </c>
      <c r="Z9">
        <v>1</v>
      </c>
      <c r="AA9">
        <v>0.97699999999999998</v>
      </c>
      <c r="AB9">
        <v>0.54</v>
      </c>
      <c r="AC9">
        <v>1</v>
      </c>
      <c r="AD9">
        <v>0.499</v>
      </c>
      <c r="AE9">
        <v>0.49</v>
      </c>
      <c r="AF9">
        <v>1</v>
      </c>
    </row>
    <row r="10" spans="1:32" x14ac:dyDescent="0.2">
      <c r="J10">
        <v>5</v>
      </c>
      <c r="K10">
        <v>5</v>
      </c>
      <c r="L10">
        <v>0.97699999999999998</v>
      </c>
      <c r="M10">
        <v>0.54</v>
      </c>
      <c r="N10">
        <v>1</v>
      </c>
      <c r="O10">
        <v>0.97699999999999998</v>
      </c>
      <c r="P10">
        <v>0.54</v>
      </c>
      <c r="Q10">
        <v>1</v>
      </c>
      <c r="R10">
        <v>0.499</v>
      </c>
      <c r="S10">
        <v>0.49</v>
      </c>
      <c r="T10">
        <v>1</v>
      </c>
    </row>
    <row r="15" spans="1:32" x14ac:dyDescent="0.2">
      <c r="A15">
        <f>COUNT(A17:A21)</f>
        <v>4</v>
      </c>
      <c r="B15">
        <f>COUNTIF(B17:B21,"&gt;4")</f>
        <v>2</v>
      </c>
      <c r="C15" t="s">
        <v>1</v>
      </c>
      <c r="D15" t="s">
        <v>0</v>
      </c>
      <c r="E15" t="s">
        <v>2</v>
      </c>
      <c r="F15" t="s">
        <v>0</v>
      </c>
      <c r="G15" t="s">
        <v>3</v>
      </c>
      <c r="H15" t="s">
        <v>0</v>
      </c>
      <c r="I15" t="s">
        <v>0</v>
      </c>
      <c r="J15">
        <f>COUNT(J17:J21)</f>
        <v>4</v>
      </c>
      <c r="K15">
        <f>COUNTIF(K17:K21,"&gt;4")</f>
        <v>0</v>
      </c>
      <c r="M15">
        <f>COUNTIF(M17:M21,1)</f>
        <v>0</v>
      </c>
      <c r="N15">
        <f>COUNTIF(N17:N21,1)</f>
        <v>2</v>
      </c>
      <c r="O15">
        <f>COUNTIF(O17:O21,"&gt;0")</f>
        <v>4</v>
      </c>
      <c r="P15">
        <f>COUNTIF(P17:P21,1)</f>
        <v>0</v>
      </c>
      <c r="Q15">
        <f>COUNTIF(Q17:Q21,1)</f>
        <v>2</v>
      </c>
      <c r="S15">
        <f>COUNTIF(S17:S21,1)</f>
        <v>0</v>
      </c>
      <c r="T15">
        <f>COUNTIFS(T17:T21,1,K17:K21,"&gt;4")</f>
        <v>0</v>
      </c>
      <c r="U15" t="s">
        <v>0</v>
      </c>
      <c r="V15">
        <f>COUNT(V17:V21)</f>
        <v>4</v>
      </c>
      <c r="W15">
        <f>COUNTIF(W17:W21,"&gt;4")</f>
        <v>0</v>
      </c>
      <c r="Y15">
        <f>COUNTIF(Y17:Y21,1)</f>
        <v>0</v>
      </c>
      <c r="Z15">
        <f>COUNTIF(Z17:Z21,1)</f>
        <v>2</v>
      </c>
      <c r="AA15">
        <f>COUNTIF(AA17:AA21,"&gt;0")</f>
        <v>4</v>
      </c>
      <c r="AB15">
        <f>COUNTIF(AB17:AB21,1)</f>
        <v>0</v>
      </c>
      <c r="AC15">
        <f>COUNTIF(AC17:AC21,1)</f>
        <v>2</v>
      </c>
      <c r="AE15">
        <f>COUNTIF(AE17:AE21,1)</f>
        <v>0</v>
      </c>
      <c r="AF15">
        <f>COUNTIFS(AF17:AF21,1,W17:W21,"&gt;4")</f>
        <v>0</v>
      </c>
    </row>
    <row r="16" spans="1:32" x14ac:dyDescent="0.2">
      <c r="A16" t="s">
        <v>4</v>
      </c>
      <c r="B16" t="s">
        <v>5</v>
      </c>
      <c r="C16" t="s">
        <v>6</v>
      </c>
      <c r="D16" t="s">
        <v>7</v>
      </c>
      <c r="E16" t="s">
        <v>6</v>
      </c>
      <c r="F16" t="s">
        <v>7</v>
      </c>
      <c r="G16" t="s">
        <v>6</v>
      </c>
      <c r="H16" t="s">
        <v>7</v>
      </c>
      <c r="I16" t="s">
        <v>0</v>
      </c>
      <c r="J16" t="s">
        <v>4</v>
      </c>
      <c r="K16" t="s">
        <v>5</v>
      </c>
      <c r="L16" t="s">
        <v>6</v>
      </c>
      <c r="M16" t="s">
        <v>7</v>
      </c>
      <c r="N16" t="s">
        <v>8</v>
      </c>
      <c r="O16" t="s">
        <v>6</v>
      </c>
      <c r="P16" t="s">
        <v>7</v>
      </c>
      <c r="Q16" t="s">
        <v>9</v>
      </c>
      <c r="R16" t="s">
        <v>6</v>
      </c>
      <c r="S16" t="s">
        <v>7</v>
      </c>
      <c r="T16" t="s">
        <v>8</v>
      </c>
      <c r="U16" t="s">
        <v>0</v>
      </c>
      <c r="V16" t="s">
        <v>10</v>
      </c>
      <c r="W16" t="s">
        <v>5</v>
      </c>
      <c r="X16" t="s">
        <v>6</v>
      </c>
      <c r="Y16" t="s">
        <v>7</v>
      </c>
      <c r="Z16" t="s">
        <v>8</v>
      </c>
      <c r="AA16" t="s">
        <v>6</v>
      </c>
      <c r="AB16" t="s">
        <v>7</v>
      </c>
      <c r="AC16" t="s">
        <v>8</v>
      </c>
      <c r="AD16" t="s">
        <v>6</v>
      </c>
      <c r="AE16" t="s">
        <v>7</v>
      </c>
      <c r="AF16" t="s">
        <v>8</v>
      </c>
    </row>
    <row r="17" spans="1:32" x14ac:dyDescent="0.2">
      <c r="A17">
        <v>1</v>
      </c>
      <c r="B17">
        <v>5</v>
      </c>
      <c r="C17">
        <v>0.95199999999999996</v>
      </c>
      <c r="D17">
        <v>0</v>
      </c>
      <c r="E17">
        <v>0.95199999999999996</v>
      </c>
      <c r="F17">
        <v>0</v>
      </c>
      <c r="G17">
        <v>0.27800000000000002</v>
      </c>
      <c r="H17">
        <v>0</v>
      </c>
      <c r="J17">
        <v>1</v>
      </c>
      <c r="K17">
        <v>4</v>
      </c>
      <c r="L17">
        <v>0.99</v>
      </c>
      <c r="M17">
        <v>0.89</v>
      </c>
      <c r="N17">
        <v>0.95199999999999996</v>
      </c>
      <c r="O17">
        <v>0.99</v>
      </c>
      <c r="P17">
        <v>0.89</v>
      </c>
      <c r="Q17">
        <v>0.95199999999999996</v>
      </c>
      <c r="R17">
        <v>0.97299999999999998</v>
      </c>
      <c r="S17">
        <v>0.97</v>
      </c>
      <c r="T17">
        <v>0</v>
      </c>
      <c r="V17">
        <v>1</v>
      </c>
      <c r="W17">
        <v>4</v>
      </c>
      <c r="X17">
        <v>0.99</v>
      </c>
      <c r="Y17">
        <v>0.89</v>
      </c>
      <c r="Z17">
        <v>0.95199999999999996</v>
      </c>
      <c r="AA17">
        <v>0.99</v>
      </c>
      <c r="AB17">
        <v>0.89</v>
      </c>
      <c r="AC17">
        <v>0.95199999999999996</v>
      </c>
      <c r="AD17">
        <v>0.97299999999999998</v>
      </c>
      <c r="AE17">
        <v>0.97</v>
      </c>
      <c r="AF17">
        <v>0</v>
      </c>
    </row>
    <row r="18" spans="1:32" x14ac:dyDescent="0.2">
      <c r="A18">
        <v>2</v>
      </c>
      <c r="B18">
        <v>4</v>
      </c>
      <c r="C18">
        <v>0.92400000000000004</v>
      </c>
      <c r="D18">
        <v>0.67</v>
      </c>
      <c r="E18">
        <v>0.92200000000000004</v>
      </c>
      <c r="F18">
        <v>0.66</v>
      </c>
      <c r="G18">
        <v>0.73899999999999999</v>
      </c>
      <c r="H18">
        <v>0.73</v>
      </c>
      <c r="J18">
        <v>2</v>
      </c>
      <c r="K18">
        <v>4</v>
      </c>
      <c r="L18">
        <v>0.92400000000000004</v>
      </c>
      <c r="M18">
        <v>0.67</v>
      </c>
      <c r="N18">
        <v>1</v>
      </c>
      <c r="O18">
        <v>0.92200000000000004</v>
      </c>
      <c r="P18">
        <v>0.66</v>
      </c>
      <c r="Q18">
        <v>1</v>
      </c>
      <c r="R18">
        <v>0.73899999999999999</v>
      </c>
      <c r="S18">
        <v>0.73</v>
      </c>
      <c r="T18">
        <v>1</v>
      </c>
      <c r="V18">
        <v>2</v>
      </c>
      <c r="W18">
        <v>4</v>
      </c>
      <c r="X18">
        <v>0.92400000000000004</v>
      </c>
      <c r="Y18">
        <v>0.67</v>
      </c>
      <c r="Z18">
        <v>1</v>
      </c>
      <c r="AA18">
        <v>0.92200000000000004</v>
      </c>
      <c r="AB18">
        <v>0.66</v>
      </c>
      <c r="AC18">
        <v>1</v>
      </c>
      <c r="AD18">
        <v>0.73899999999999999</v>
      </c>
      <c r="AE18">
        <v>0.73</v>
      </c>
      <c r="AF18">
        <v>1</v>
      </c>
    </row>
    <row r="19" spans="1:32" x14ac:dyDescent="0.2">
      <c r="A19">
        <v>3</v>
      </c>
      <c r="B19">
        <v>4</v>
      </c>
      <c r="C19">
        <v>0.97399999999999998</v>
      </c>
      <c r="D19">
        <v>0.94</v>
      </c>
      <c r="E19">
        <v>0.97399999999999998</v>
      </c>
      <c r="F19">
        <v>0.94</v>
      </c>
      <c r="G19">
        <v>2.8000000000000001E-2</v>
      </c>
      <c r="H19">
        <v>0</v>
      </c>
      <c r="J19">
        <v>3</v>
      </c>
      <c r="K19">
        <v>4</v>
      </c>
      <c r="L19">
        <v>0.97399999999999998</v>
      </c>
      <c r="M19">
        <v>0.94</v>
      </c>
      <c r="N19">
        <v>1</v>
      </c>
      <c r="O19">
        <v>0.97399999999999998</v>
      </c>
      <c r="P19">
        <v>0.94</v>
      </c>
      <c r="Q19">
        <v>1</v>
      </c>
      <c r="R19">
        <v>0.68300000000000005</v>
      </c>
      <c r="S19">
        <v>0.68</v>
      </c>
      <c r="T19">
        <v>0</v>
      </c>
      <c r="V19">
        <v>3</v>
      </c>
      <c r="W19">
        <v>4</v>
      </c>
      <c r="X19">
        <v>0.97399999999999998</v>
      </c>
      <c r="Y19">
        <v>0.94</v>
      </c>
      <c r="Z19">
        <v>1</v>
      </c>
      <c r="AA19">
        <v>0.97399999999999998</v>
      </c>
      <c r="AB19">
        <v>0.94</v>
      </c>
      <c r="AC19">
        <v>1</v>
      </c>
      <c r="AD19">
        <v>0.68300000000000005</v>
      </c>
      <c r="AE19">
        <v>0.68</v>
      </c>
      <c r="AF19">
        <v>0</v>
      </c>
    </row>
    <row r="20" spans="1:32" x14ac:dyDescent="0.2">
      <c r="A20">
        <v>4</v>
      </c>
      <c r="B20">
        <v>5</v>
      </c>
      <c r="C20">
        <v>0.79500000000000004</v>
      </c>
      <c r="D20">
        <v>0.02</v>
      </c>
      <c r="E20">
        <v>0.79400000000000004</v>
      </c>
      <c r="F20">
        <v>0.01</v>
      </c>
      <c r="G20">
        <v>0.34899999999999998</v>
      </c>
      <c r="H20">
        <v>0.33</v>
      </c>
      <c r="J20">
        <v>4</v>
      </c>
      <c r="K20">
        <v>4</v>
      </c>
      <c r="L20">
        <v>0.84</v>
      </c>
      <c r="M20">
        <v>0.61</v>
      </c>
      <c r="N20">
        <v>0.95199999999999996</v>
      </c>
      <c r="O20">
        <v>0.83899999999999997</v>
      </c>
      <c r="P20">
        <v>0.6</v>
      </c>
      <c r="Q20">
        <v>0.95199999999999996</v>
      </c>
      <c r="R20">
        <v>0.38900000000000001</v>
      </c>
      <c r="S20">
        <v>0.14000000000000001</v>
      </c>
      <c r="T20">
        <v>0.25</v>
      </c>
      <c r="V20">
        <v>4</v>
      </c>
      <c r="W20">
        <v>4</v>
      </c>
      <c r="X20">
        <v>0.84</v>
      </c>
      <c r="Y20">
        <v>0.61</v>
      </c>
      <c r="Z20">
        <v>0.95199999999999996</v>
      </c>
      <c r="AA20">
        <v>0.83899999999999997</v>
      </c>
      <c r="AB20">
        <v>0.6</v>
      </c>
      <c r="AC20">
        <v>0.95199999999999996</v>
      </c>
      <c r="AD20">
        <v>0.34899999999999998</v>
      </c>
      <c r="AE20">
        <v>0.33</v>
      </c>
      <c r="AF20">
        <v>1</v>
      </c>
    </row>
    <row r="25" spans="1:32" x14ac:dyDescent="0.2">
      <c r="A25">
        <f>COUNT(A27:A31)</f>
        <v>4</v>
      </c>
      <c r="B25">
        <f>COUNTIF(B27:B31,"&gt;4")</f>
        <v>1</v>
      </c>
      <c r="C25" t="s">
        <v>1</v>
      </c>
      <c r="D25" t="s">
        <v>0</v>
      </c>
      <c r="E25" t="s">
        <v>2</v>
      </c>
      <c r="F25" t="s">
        <v>0</v>
      </c>
      <c r="G25" t="s">
        <v>3</v>
      </c>
      <c r="H25" t="s">
        <v>0</v>
      </c>
      <c r="I25" t="s">
        <v>0</v>
      </c>
      <c r="J25">
        <f>COUNT(J27:J31)</f>
        <v>5</v>
      </c>
      <c r="K25">
        <f>COUNTIF(K27:K31,"&gt;4")</f>
        <v>1</v>
      </c>
      <c r="M25">
        <f>COUNTIF(M27:M31,1)</f>
        <v>1</v>
      </c>
      <c r="N25">
        <f>COUNTIF(N27:N31,1)</f>
        <v>4</v>
      </c>
      <c r="O25">
        <f>COUNTIF(O27:O31,"&gt;0")</f>
        <v>5</v>
      </c>
      <c r="P25">
        <f>COUNTIF(P27:P31,1)</f>
        <v>1</v>
      </c>
      <c r="Q25">
        <f>COUNTIF(Q27:Q31,1)</f>
        <v>4</v>
      </c>
      <c r="S25">
        <f>COUNTIF(S27:S31,1)</f>
        <v>0</v>
      </c>
      <c r="T25">
        <f>COUNTIFS(T27:T31,1,K27:K31,"&gt;4")</f>
        <v>1</v>
      </c>
      <c r="U25" t="s">
        <v>0</v>
      </c>
      <c r="V25">
        <f>COUNT(V27:V31)</f>
        <v>5</v>
      </c>
      <c r="W25">
        <f>COUNTIF(W27:W31,"&gt;4")</f>
        <v>1</v>
      </c>
      <c r="Y25">
        <f>COUNTIF(Y27:Y31,1)</f>
        <v>1</v>
      </c>
      <c r="Z25">
        <f>COUNTIF(Z27:Z31,1)</f>
        <v>4</v>
      </c>
      <c r="AA25">
        <f>COUNTIF(AA27:AA31,"&gt;0")</f>
        <v>5</v>
      </c>
      <c r="AB25">
        <f>COUNTIF(AB27:AB31,1)</f>
        <v>1</v>
      </c>
      <c r="AC25">
        <f>COUNTIF(AC27:AC31,1)</f>
        <v>4</v>
      </c>
      <c r="AE25">
        <f>COUNTIF(AE27:AE31,1)</f>
        <v>0</v>
      </c>
      <c r="AF25">
        <f>COUNTIFS(AF27:AF31,1,W27:W31,"&gt;4")</f>
        <v>1</v>
      </c>
    </row>
    <row r="26" spans="1:32" x14ac:dyDescent="0.2">
      <c r="A26" t="s">
        <v>4</v>
      </c>
      <c r="B26" t="s">
        <v>5</v>
      </c>
      <c r="C26" t="s">
        <v>6</v>
      </c>
      <c r="D26" t="s">
        <v>7</v>
      </c>
      <c r="E26" t="s">
        <v>6</v>
      </c>
      <c r="F26" t="s">
        <v>7</v>
      </c>
      <c r="G26" t="s">
        <v>6</v>
      </c>
      <c r="H26" t="s">
        <v>7</v>
      </c>
      <c r="I26" t="s">
        <v>0</v>
      </c>
      <c r="J26" t="s">
        <v>4</v>
      </c>
      <c r="K26" t="s">
        <v>5</v>
      </c>
      <c r="L26" t="s">
        <v>6</v>
      </c>
      <c r="M26" t="s">
        <v>7</v>
      </c>
      <c r="N26" t="s">
        <v>8</v>
      </c>
      <c r="O26" t="s">
        <v>6</v>
      </c>
      <c r="P26" t="s">
        <v>7</v>
      </c>
      <c r="Q26" t="s">
        <v>9</v>
      </c>
      <c r="R26" t="s">
        <v>6</v>
      </c>
      <c r="S26" t="s">
        <v>7</v>
      </c>
      <c r="T26" t="s">
        <v>8</v>
      </c>
      <c r="U26" t="s">
        <v>0</v>
      </c>
      <c r="V26" t="s">
        <v>10</v>
      </c>
      <c r="W26" t="s">
        <v>5</v>
      </c>
      <c r="X26" t="s">
        <v>6</v>
      </c>
      <c r="Y26" t="s">
        <v>7</v>
      </c>
      <c r="Z26" t="s">
        <v>8</v>
      </c>
      <c r="AA26" t="s">
        <v>6</v>
      </c>
      <c r="AB26" t="s">
        <v>7</v>
      </c>
      <c r="AC26" t="s">
        <v>8</v>
      </c>
      <c r="AD26" t="s">
        <v>6</v>
      </c>
      <c r="AE26" t="s">
        <v>7</v>
      </c>
      <c r="AF26" t="s">
        <v>8</v>
      </c>
    </row>
    <row r="27" spans="1:32" x14ac:dyDescent="0.2">
      <c r="A27">
        <v>1</v>
      </c>
      <c r="B27">
        <v>5</v>
      </c>
      <c r="C27">
        <v>0.99</v>
      </c>
      <c r="D27">
        <v>0.78</v>
      </c>
      <c r="E27">
        <v>0.98899999999999999</v>
      </c>
      <c r="F27">
        <v>0.78</v>
      </c>
      <c r="G27">
        <v>0.81399999999999995</v>
      </c>
      <c r="H27">
        <v>0.8</v>
      </c>
      <c r="J27">
        <v>1</v>
      </c>
      <c r="K27">
        <v>4</v>
      </c>
      <c r="L27">
        <v>0.86</v>
      </c>
      <c r="M27">
        <v>0.64</v>
      </c>
      <c r="N27">
        <v>0.52400000000000002</v>
      </c>
      <c r="O27">
        <v>0.85899999999999999</v>
      </c>
      <c r="P27">
        <v>0.63</v>
      </c>
      <c r="Q27">
        <v>0.52400000000000002</v>
      </c>
      <c r="R27">
        <v>0.69</v>
      </c>
      <c r="S27">
        <v>0.66</v>
      </c>
      <c r="T27">
        <v>0</v>
      </c>
      <c r="V27">
        <v>1</v>
      </c>
      <c r="W27">
        <v>4</v>
      </c>
      <c r="X27">
        <v>0.86</v>
      </c>
      <c r="Y27">
        <v>0.64</v>
      </c>
      <c r="Z27">
        <v>0.52400000000000002</v>
      </c>
      <c r="AA27">
        <v>0.85899999999999999</v>
      </c>
      <c r="AB27">
        <v>0.63</v>
      </c>
      <c r="AC27">
        <v>0.52400000000000002</v>
      </c>
      <c r="AD27">
        <v>0.69</v>
      </c>
      <c r="AE27">
        <v>0.66</v>
      </c>
      <c r="AF27">
        <v>0</v>
      </c>
    </row>
    <row r="28" spans="1:32" x14ac:dyDescent="0.2">
      <c r="A28">
        <v>2</v>
      </c>
      <c r="B28">
        <v>4</v>
      </c>
      <c r="C28">
        <v>0.97699999999999998</v>
      </c>
      <c r="D28">
        <v>0.88</v>
      </c>
      <c r="E28">
        <v>0.97699999999999998</v>
      </c>
      <c r="F28">
        <v>0.88</v>
      </c>
      <c r="G28">
        <v>6.8000000000000005E-2</v>
      </c>
      <c r="H28">
        <v>0</v>
      </c>
      <c r="J28">
        <v>2</v>
      </c>
      <c r="K28">
        <v>5</v>
      </c>
      <c r="L28">
        <v>0.99</v>
      </c>
      <c r="M28">
        <v>0.78</v>
      </c>
      <c r="N28">
        <v>1</v>
      </c>
      <c r="O28">
        <v>0.98899999999999999</v>
      </c>
      <c r="P28">
        <v>0.78</v>
      </c>
      <c r="Q28">
        <v>1</v>
      </c>
      <c r="R28">
        <v>0.81399999999999995</v>
      </c>
      <c r="S28">
        <v>0.8</v>
      </c>
      <c r="T28">
        <v>1</v>
      </c>
      <c r="V28">
        <v>2</v>
      </c>
      <c r="W28">
        <v>5</v>
      </c>
      <c r="X28">
        <v>0.99</v>
      </c>
      <c r="Y28">
        <v>0.78</v>
      </c>
      <c r="Z28">
        <v>1</v>
      </c>
      <c r="AA28">
        <v>0.98899999999999999</v>
      </c>
      <c r="AB28">
        <v>0.78</v>
      </c>
      <c r="AC28">
        <v>1</v>
      </c>
      <c r="AD28">
        <v>0.81399999999999995</v>
      </c>
      <c r="AE28">
        <v>0.8</v>
      </c>
      <c r="AF28">
        <v>1</v>
      </c>
    </row>
    <row r="29" spans="1:32" x14ac:dyDescent="0.2">
      <c r="A29">
        <v>3</v>
      </c>
      <c r="B29">
        <v>4</v>
      </c>
      <c r="C29">
        <v>1</v>
      </c>
      <c r="D29">
        <v>1</v>
      </c>
      <c r="E29">
        <v>1</v>
      </c>
      <c r="F29">
        <v>1</v>
      </c>
      <c r="G29">
        <v>0.40300000000000002</v>
      </c>
      <c r="H29">
        <v>0.36</v>
      </c>
      <c r="J29">
        <v>3</v>
      </c>
      <c r="K29">
        <v>4</v>
      </c>
      <c r="L29">
        <v>0.97699999999999998</v>
      </c>
      <c r="M29">
        <v>0.88</v>
      </c>
      <c r="N29">
        <v>1</v>
      </c>
      <c r="O29">
        <v>0.97699999999999998</v>
      </c>
      <c r="P29">
        <v>0.88</v>
      </c>
      <c r="Q29">
        <v>1</v>
      </c>
      <c r="R29">
        <v>0.88700000000000001</v>
      </c>
      <c r="S29">
        <v>0.88</v>
      </c>
      <c r="T29">
        <v>0.222</v>
      </c>
      <c r="V29">
        <v>3</v>
      </c>
      <c r="W29">
        <v>4</v>
      </c>
      <c r="X29">
        <v>0.97699999999999998</v>
      </c>
      <c r="Y29">
        <v>0.88</v>
      </c>
      <c r="Z29">
        <v>1</v>
      </c>
      <c r="AA29">
        <v>0.97699999999999998</v>
      </c>
      <c r="AB29">
        <v>0.88</v>
      </c>
      <c r="AC29">
        <v>1</v>
      </c>
      <c r="AD29">
        <v>0.88700000000000001</v>
      </c>
      <c r="AE29">
        <v>0.88</v>
      </c>
      <c r="AF29">
        <v>0.222</v>
      </c>
    </row>
    <row r="30" spans="1:32" x14ac:dyDescent="0.2">
      <c r="A30">
        <v>4</v>
      </c>
      <c r="B30">
        <v>4</v>
      </c>
      <c r="C30">
        <v>0.996</v>
      </c>
      <c r="D30">
        <v>0.99</v>
      </c>
      <c r="E30">
        <v>0.996</v>
      </c>
      <c r="F30">
        <v>0.99</v>
      </c>
      <c r="G30">
        <v>3.7999999999999999E-2</v>
      </c>
      <c r="H30">
        <v>0.02</v>
      </c>
      <c r="J30">
        <v>4</v>
      </c>
      <c r="K30">
        <v>4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0.505</v>
      </c>
      <c r="S30">
        <v>0.48</v>
      </c>
      <c r="T30">
        <v>0.222</v>
      </c>
      <c r="V30">
        <v>4</v>
      </c>
      <c r="W30">
        <v>4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0.505</v>
      </c>
      <c r="AE30">
        <v>0.48</v>
      </c>
      <c r="AF30">
        <v>0.222</v>
      </c>
    </row>
    <row r="31" spans="1:32" x14ac:dyDescent="0.2">
      <c r="J31">
        <v>5</v>
      </c>
      <c r="K31">
        <v>4</v>
      </c>
      <c r="L31">
        <v>0.996</v>
      </c>
      <c r="M31">
        <v>0.99</v>
      </c>
      <c r="N31">
        <v>1</v>
      </c>
      <c r="O31">
        <v>0.996</v>
      </c>
      <c r="P31">
        <v>0.99</v>
      </c>
      <c r="Q31">
        <v>1</v>
      </c>
      <c r="R31">
        <v>0.79</v>
      </c>
      <c r="S31">
        <v>0.64</v>
      </c>
      <c r="T31">
        <v>0.38500000000000001</v>
      </c>
      <c r="V31">
        <v>5</v>
      </c>
      <c r="W31">
        <v>4</v>
      </c>
      <c r="X31">
        <v>0.996</v>
      </c>
      <c r="Y31">
        <v>0.99</v>
      </c>
      <c r="Z31">
        <v>1</v>
      </c>
      <c r="AA31">
        <v>0.996</v>
      </c>
      <c r="AB31">
        <v>0.99</v>
      </c>
      <c r="AC31">
        <v>1</v>
      </c>
      <c r="AD31">
        <v>0.79</v>
      </c>
      <c r="AE31">
        <v>0.64</v>
      </c>
      <c r="AF31">
        <v>0.38500000000000001</v>
      </c>
    </row>
    <row r="36" spans="1:32" x14ac:dyDescent="0.2">
      <c r="A36">
        <f>COUNT(A38:A42)</f>
        <v>2</v>
      </c>
      <c r="B36">
        <f>COUNTIF(B38:B42,"&gt;4")</f>
        <v>2</v>
      </c>
      <c r="C36" t="s">
        <v>1</v>
      </c>
      <c r="D36" t="s">
        <v>0</v>
      </c>
      <c r="E36" t="s">
        <v>2</v>
      </c>
      <c r="F36" t="s">
        <v>0</v>
      </c>
      <c r="G36" t="s">
        <v>3</v>
      </c>
      <c r="H36" t="s">
        <v>0</v>
      </c>
      <c r="I36" t="s">
        <v>0</v>
      </c>
      <c r="J36">
        <f>COUNT(J38:J42)</f>
        <v>3</v>
      </c>
      <c r="K36">
        <f>COUNTIF(K38:K42,"&gt;4")</f>
        <v>2</v>
      </c>
      <c r="M36">
        <f>COUNTIF(M38:M42,1)</f>
        <v>0</v>
      </c>
      <c r="N36">
        <f>COUNTIF(N38:N42,1)</f>
        <v>1</v>
      </c>
      <c r="O36">
        <f>COUNTIF(O38:O42,"&gt;0")</f>
        <v>3</v>
      </c>
      <c r="P36">
        <f>COUNTIF(P38:P42,1)</f>
        <v>0</v>
      </c>
      <c r="Q36">
        <f>COUNTIF(Q38:Q42,1)</f>
        <v>1</v>
      </c>
      <c r="S36">
        <f>COUNTIF(S38:S42,1)</f>
        <v>1</v>
      </c>
      <c r="T36">
        <f>COUNTIFS(T38:T42,1,K38:K42,"&gt;4")</f>
        <v>2</v>
      </c>
      <c r="U36" t="s">
        <v>0</v>
      </c>
      <c r="V36">
        <f>COUNT(V38:V42)</f>
        <v>4</v>
      </c>
      <c r="W36">
        <f>COUNTIF(W38:W42,"&gt;4")</f>
        <v>2</v>
      </c>
      <c r="Y36">
        <f>COUNTIF(Y38:Y42,1)</f>
        <v>0</v>
      </c>
      <c r="Z36">
        <f>COUNTIF(Z38:Z42,1)</f>
        <v>1</v>
      </c>
      <c r="AA36">
        <f>COUNTIF(AA38:AA42,"&gt;0")</f>
        <v>4</v>
      </c>
      <c r="AB36">
        <f>COUNTIF(AB38:AB42,1)</f>
        <v>0</v>
      </c>
      <c r="AC36">
        <f>COUNTIF(AC38:AC42,1)</f>
        <v>1</v>
      </c>
      <c r="AE36">
        <f>COUNTIF(AE38:AE42,1)</f>
        <v>1</v>
      </c>
      <c r="AF36">
        <f>COUNTIFS(AF38:AF42,1,W38:W42,"&gt;4")</f>
        <v>2</v>
      </c>
    </row>
    <row r="37" spans="1:32" x14ac:dyDescent="0.2">
      <c r="A37" t="s">
        <v>4</v>
      </c>
      <c r="B37" t="s">
        <v>5</v>
      </c>
      <c r="C37" t="s">
        <v>6</v>
      </c>
      <c r="D37" t="s">
        <v>7</v>
      </c>
      <c r="E37" t="s">
        <v>6</v>
      </c>
      <c r="F37" t="s">
        <v>7</v>
      </c>
      <c r="G37" t="s">
        <v>6</v>
      </c>
      <c r="H37" t="s">
        <v>7</v>
      </c>
      <c r="I37" t="s">
        <v>0</v>
      </c>
      <c r="J37" t="s">
        <v>4</v>
      </c>
      <c r="K37" t="s">
        <v>5</v>
      </c>
      <c r="L37" t="s">
        <v>6</v>
      </c>
      <c r="M37" t="s">
        <v>7</v>
      </c>
      <c r="N37" t="s">
        <v>8</v>
      </c>
      <c r="O37" t="s">
        <v>6</v>
      </c>
      <c r="P37" t="s">
        <v>7</v>
      </c>
      <c r="Q37" t="s">
        <v>9</v>
      </c>
      <c r="R37" t="s">
        <v>6</v>
      </c>
      <c r="S37" t="s">
        <v>7</v>
      </c>
      <c r="T37" t="s">
        <v>8</v>
      </c>
      <c r="U37" t="s">
        <v>0</v>
      </c>
      <c r="V37" t="s">
        <v>10</v>
      </c>
      <c r="W37" t="s">
        <v>5</v>
      </c>
      <c r="X37" t="s">
        <v>6</v>
      </c>
      <c r="Y37" t="s">
        <v>7</v>
      </c>
      <c r="Z37" t="s">
        <v>8</v>
      </c>
      <c r="AA37" t="s">
        <v>6</v>
      </c>
      <c r="AB37" t="s">
        <v>7</v>
      </c>
      <c r="AC37" t="s">
        <v>8</v>
      </c>
      <c r="AD37" t="s">
        <v>6</v>
      </c>
      <c r="AE37" t="s">
        <v>7</v>
      </c>
      <c r="AF37" t="s">
        <v>8</v>
      </c>
    </row>
    <row r="38" spans="1:32" x14ac:dyDescent="0.2">
      <c r="A38">
        <v>1</v>
      </c>
      <c r="B38">
        <v>7</v>
      </c>
      <c r="C38">
        <v>0.92600000000000005</v>
      </c>
      <c r="D38">
        <v>0</v>
      </c>
      <c r="E38">
        <v>0.92400000000000004</v>
      </c>
      <c r="F38">
        <v>0</v>
      </c>
      <c r="G38">
        <v>0.99</v>
      </c>
      <c r="H38">
        <v>0.99</v>
      </c>
      <c r="J38">
        <v>1</v>
      </c>
      <c r="K38">
        <v>4</v>
      </c>
      <c r="L38">
        <v>0.80700000000000005</v>
      </c>
      <c r="M38">
        <v>0.47</v>
      </c>
      <c r="N38">
        <v>0.52400000000000002</v>
      </c>
      <c r="O38">
        <v>0.79600000000000004</v>
      </c>
      <c r="P38">
        <v>0.24</v>
      </c>
      <c r="Q38">
        <v>0.52400000000000002</v>
      </c>
      <c r="R38">
        <v>0.251</v>
      </c>
      <c r="S38">
        <v>0.25</v>
      </c>
      <c r="T38">
        <v>0</v>
      </c>
      <c r="V38">
        <v>1</v>
      </c>
      <c r="W38">
        <v>4</v>
      </c>
      <c r="X38">
        <v>0.80700000000000005</v>
      </c>
      <c r="Y38">
        <v>0.47</v>
      </c>
      <c r="Z38">
        <v>0.52400000000000002</v>
      </c>
      <c r="AA38">
        <v>0.79600000000000004</v>
      </c>
      <c r="AB38">
        <v>0.24</v>
      </c>
      <c r="AC38">
        <v>0.52400000000000002</v>
      </c>
      <c r="AD38">
        <v>0.251</v>
      </c>
      <c r="AE38">
        <v>0.25</v>
      </c>
      <c r="AF38">
        <v>0</v>
      </c>
    </row>
    <row r="39" spans="1:32" x14ac:dyDescent="0.2">
      <c r="A39">
        <v>2</v>
      </c>
      <c r="B39">
        <v>6</v>
      </c>
      <c r="C39">
        <v>1</v>
      </c>
      <c r="D39">
        <v>0.99</v>
      </c>
      <c r="E39">
        <v>1</v>
      </c>
      <c r="F39">
        <v>0.99</v>
      </c>
      <c r="G39">
        <v>1</v>
      </c>
      <c r="H39">
        <v>1</v>
      </c>
      <c r="J39">
        <v>2</v>
      </c>
      <c r="K39">
        <v>8</v>
      </c>
      <c r="L39">
        <v>0.96799999999999997</v>
      </c>
      <c r="M39">
        <v>0.65</v>
      </c>
      <c r="N39">
        <v>0.95199999999999996</v>
      </c>
      <c r="O39">
        <v>0.94799999999999995</v>
      </c>
      <c r="P39">
        <v>0.36</v>
      </c>
      <c r="Q39">
        <v>0.95199999999999996</v>
      </c>
      <c r="R39">
        <v>0.99</v>
      </c>
      <c r="S39">
        <v>0.99</v>
      </c>
      <c r="T39">
        <v>1</v>
      </c>
      <c r="V39">
        <v>2</v>
      </c>
      <c r="W39">
        <v>8</v>
      </c>
      <c r="X39">
        <v>0.96799999999999997</v>
      </c>
      <c r="Y39">
        <v>0.65</v>
      </c>
      <c r="Z39">
        <v>0.95199999999999996</v>
      </c>
      <c r="AA39">
        <v>0.94799999999999995</v>
      </c>
      <c r="AB39">
        <v>0.36</v>
      </c>
      <c r="AC39">
        <v>0.95199999999999996</v>
      </c>
      <c r="AD39">
        <v>0.99</v>
      </c>
      <c r="AE39">
        <v>0.99</v>
      </c>
      <c r="AF39">
        <v>1</v>
      </c>
    </row>
    <row r="40" spans="1:32" x14ac:dyDescent="0.2">
      <c r="J40">
        <v>3</v>
      </c>
      <c r="K40">
        <v>6</v>
      </c>
      <c r="L40">
        <v>1</v>
      </c>
      <c r="M40">
        <v>0.99</v>
      </c>
      <c r="N40">
        <v>1</v>
      </c>
      <c r="O40">
        <v>1</v>
      </c>
      <c r="P40">
        <v>0.99</v>
      </c>
      <c r="Q40">
        <v>1</v>
      </c>
      <c r="R40">
        <v>1</v>
      </c>
      <c r="S40">
        <v>1</v>
      </c>
      <c r="T40">
        <v>1</v>
      </c>
      <c r="V40">
        <v>3</v>
      </c>
      <c r="W40">
        <v>4</v>
      </c>
      <c r="X40">
        <v>0.79100000000000004</v>
      </c>
      <c r="Y40">
        <v>0.52</v>
      </c>
      <c r="Z40">
        <v>0.52400000000000002</v>
      </c>
      <c r="AA40">
        <v>0.78100000000000003</v>
      </c>
      <c r="AB40">
        <v>0.31</v>
      </c>
      <c r="AC40">
        <v>0.52400000000000002</v>
      </c>
      <c r="AD40">
        <v>0.442</v>
      </c>
      <c r="AE40">
        <v>0.43</v>
      </c>
      <c r="AF40">
        <v>0</v>
      </c>
    </row>
    <row r="41" spans="1:32" x14ac:dyDescent="0.2">
      <c r="V41">
        <v>4</v>
      </c>
      <c r="W41">
        <v>6</v>
      </c>
      <c r="X41">
        <v>1</v>
      </c>
      <c r="Y41">
        <v>0.99</v>
      </c>
      <c r="Z41">
        <v>1</v>
      </c>
      <c r="AA41">
        <v>1</v>
      </c>
      <c r="AB41">
        <v>0.99</v>
      </c>
      <c r="AC41">
        <v>1</v>
      </c>
      <c r="AD41">
        <v>1</v>
      </c>
      <c r="AE41">
        <v>1</v>
      </c>
      <c r="AF41">
        <v>1</v>
      </c>
    </row>
    <row r="46" spans="1:32" x14ac:dyDescent="0.2">
      <c r="A46">
        <f>COUNT(A48:A52)</f>
        <v>3</v>
      </c>
      <c r="B46">
        <f>COUNTIF(B48:B52,"&gt;4")</f>
        <v>2</v>
      </c>
      <c r="C46" t="s">
        <v>1</v>
      </c>
      <c r="D46" t="s">
        <v>0</v>
      </c>
      <c r="E46" t="s">
        <v>2</v>
      </c>
      <c r="F46" t="s">
        <v>0</v>
      </c>
      <c r="G46" t="s">
        <v>3</v>
      </c>
      <c r="H46" t="s">
        <v>0</v>
      </c>
      <c r="I46" t="s">
        <v>0</v>
      </c>
      <c r="J46">
        <f>COUNT(J48:J52)</f>
        <v>3</v>
      </c>
      <c r="K46">
        <f>COUNTIF(K48:K52,"&gt;4")</f>
        <v>2</v>
      </c>
      <c r="M46">
        <f>COUNTIF(M48:M52,1)</f>
        <v>0</v>
      </c>
      <c r="N46">
        <f>COUNTIF(N48:N52,1)</f>
        <v>3</v>
      </c>
      <c r="O46">
        <f>COUNTIF(O48:O52,"&gt;0")</f>
        <v>3</v>
      </c>
      <c r="P46">
        <f>COUNTIF(P48:P52,1)</f>
        <v>0</v>
      </c>
      <c r="Q46">
        <f>COUNTIF(Q48:Q52,1)</f>
        <v>3</v>
      </c>
      <c r="S46">
        <f>COUNTIF(S48:S52,1)</f>
        <v>1</v>
      </c>
      <c r="T46">
        <f>COUNTIFS(T48:T52,1,K48:K52,"&gt;4")</f>
        <v>2</v>
      </c>
      <c r="U46" t="s">
        <v>0</v>
      </c>
      <c r="V46">
        <f>COUNT(V48:V52)</f>
        <v>3</v>
      </c>
      <c r="W46">
        <f>COUNTIF(W48:W52,"&gt;4")</f>
        <v>2</v>
      </c>
      <c r="Y46">
        <f>COUNTIF(Y48:Y52,1)</f>
        <v>0</v>
      </c>
      <c r="Z46">
        <f>COUNTIF(Z48:Z52,1)</f>
        <v>3</v>
      </c>
      <c r="AA46">
        <f>COUNTIF(AA48:AA52,"&gt;0")</f>
        <v>3</v>
      </c>
      <c r="AB46">
        <f>COUNTIF(AB48:AB52,1)</f>
        <v>0</v>
      </c>
      <c r="AC46">
        <f>COUNTIF(AC48:AC52,1)</f>
        <v>3</v>
      </c>
      <c r="AE46">
        <f>COUNTIF(AE48:AE52,1)</f>
        <v>1</v>
      </c>
      <c r="AF46">
        <f>COUNTIFS(AF48:AF52,1,W48:W52,"&gt;4")</f>
        <v>2</v>
      </c>
    </row>
    <row r="47" spans="1:32" x14ac:dyDescent="0.2">
      <c r="A47" t="s">
        <v>4</v>
      </c>
      <c r="B47" t="s">
        <v>5</v>
      </c>
      <c r="C47" t="s">
        <v>6</v>
      </c>
      <c r="D47" t="s">
        <v>7</v>
      </c>
      <c r="E47" t="s">
        <v>6</v>
      </c>
      <c r="F47" t="s">
        <v>7</v>
      </c>
      <c r="G47" t="s">
        <v>6</v>
      </c>
      <c r="H47" t="s">
        <v>7</v>
      </c>
      <c r="I47" t="s">
        <v>0</v>
      </c>
      <c r="J47" t="s">
        <v>4</v>
      </c>
      <c r="K47" t="s">
        <v>5</v>
      </c>
      <c r="L47" t="s">
        <v>6</v>
      </c>
      <c r="M47" t="s">
        <v>7</v>
      </c>
      <c r="N47" t="s">
        <v>8</v>
      </c>
      <c r="O47" t="s">
        <v>6</v>
      </c>
      <c r="P47" t="s">
        <v>7</v>
      </c>
      <c r="Q47" t="s">
        <v>9</v>
      </c>
      <c r="R47" t="s">
        <v>6</v>
      </c>
      <c r="S47" t="s">
        <v>7</v>
      </c>
      <c r="T47" t="s">
        <v>8</v>
      </c>
      <c r="U47" t="s">
        <v>0</v>
      </c>
      <c r="V47" t="s">
        <v>10</v>
      </c>
      <c r="W47" t="s">
        <v>5</v>
      </c>
      <c r="X47" t="s">
        <v>6</v>
      </c>
      <c r="Y47" t="s">
        <v>7</v>
      </c>
      <c r="Z47" t="s">
        <v>8</v>
      </c>
      <c r="AA47" t="s">
        <v>6</v>
      </c>
      <c r="AB47" t="s">
        <v>7</v>
      </c>
      <c r="AC47" t="s">
        <v>8</v>
      </c>
      <c r="AD47" t="s">
        <v>6</v>
      </c>
      <c r="AE47" t="s">
        <v>7</v>
      </c>
      <c r="AF47" t="s">
        <v>8</v>
      </c>
    </row>
    <row r="48" spans="1:32" x14ac:dyDescent="0.2">
      <c r="A48">
        <v>1</v>
      </c>
      <c r="B48">
        <v>4</v>
      </c>
      <c r="C48">
        <v>0.92700000000000005</v>
      </c>
      <c r="D48">
        <v>0.57999999999999996</v>
      </c>
      <c r="E48">
        <v>0.92700000000000005</v>
      </c>
      <c r="F48">
        <v>0.57999999999999996</v>
      </c>
      <c r="G48">
        <v>0</v>
      </c>
      <c r="H48">
        <v>0</v>
      </c>
      <c r="J48">
        <v>1</v>
      </c>
      <c r="K48">
        <v>4</v>
      </c>
      <c r="L48">
        <v>0.92700000000000005</v>
      </c>
      <c r="M48">
        <v>0.57999999999999996</v>
      </c>
      <c r="N48">
        <v>1</v>
      </c>
      <c r="O48">
        <v>0.92700000000000005</v>
      </c>
      <c r="P48">
        <v>0.57999999999999996</v>
      </c>
      <c r="Q48">
        <v>1</v>
      </c>
      <c r="R48">
        <v>0.91</v>
      </c>
      <c r="S48">
        <v>0.91</v>
      </c>
      <c r="T48">
        <v>0</v>
      </c>
      <c r="V48">
        <v>1</v>
      </c>
      <c r="W48">
        <v>4</v>
      </c>
      <c r="X48">
        <v>0.92700000000000005</v>
      </c>
      <c r="Y48">
        <v>0.57999999999999996</v>
      </c>
      <c r="Z48">
        <v>1</v>
      </c>
      <c r="AA48">
        <v>0.92700000000000005</v>
      </c>
      <c r="AB48">
        <v>0.57999999999999996</v>
      </c>
      <c r="AC48">
        <v>1</v>
      </c>
      <c r="AD48">
        <v>0.91</v>
      </c>
      <c r="AE48">
        <v>0.91</v>
      </c>
      <c r="AF48">
        <v>0</v>
      </c>
    </row>
    <row r="49" spans="1:32" x14ac:dyDescent="0.2">
      <c r="A49">
        <v>2</v>
      </c>
      <c r="B49">
        <v>7</v>
      </c>
      <c r="C49">
        <v>0.996</v>
      </c>
      <c r="D49">
        <v>0.92</v>
      </c>
      <c r="E49">
        <v>0.996</v>
      </c>
      <c r="F49">
        <v>0.92</v>
      </c>
      <c r="G49">
        <v>1</v>
      </c>
      <c r="H49">
        <v>1</v>
      </c>
      <c r="J49">
        <v>2</v>
      </c>
      <c r="K49">
        <v>7</v>
      </c>
      <c r="L49">
        <v>0.996</v>
      </c>
      <c r="M49">
        <v>0.92</v>
      </c>
      <c r="N49">
        <v>1</v>
      </c>
      <c r="O49">
        <v>0.996</v>
      </c>
      <c r="P49">
        <v>0.92</v>
      </c>
      <c r="Q49">
        <v>1</v>
      </c>
      <c r="R49">
        <v>1</v>
      </c>
      <c r="S49">
        <v>1</v>
      </c>
      <c r="T49">
        <v>1</v>
      </c>
      <c r="V49">
        <v>2</v>
      </c>
      <c r="W49">
        <v>7</v>
      </c>
      <c r="X49">
        <v>0.996</v>
      </c>
      <c r="Y49">
        <v>0.92</v>
      </c>
      <c r="Z49">
        <v>1</v>
      </c>
      <c r="AA49">
        <v>0.996</v>
      </c>
      <c r="AB49">
        <v>0.92</v>
      </c>
      <c r="AC49">
        <v>1</v>
      </c>
      <c r="AD49">
        <v>1</v>
      </c>
      <c r="AE49">
        <v>1</v>
      </c>
      <c r="AF49">
        <v>1</v>
      </c>
    </row>
    <row r="50" spans="1:32" x14ac:dyDescent="0.2">
      <c r="A50">
        <v>3</v>
      </c>
      <c r="B50">
        <v>6</v>
      </c>
      <c r="C50">
        <v>0.996</v>
      </c>
      <c r="D50">
        <v>0.92</v>
      </c>
      <c r="E50">
        <v>0.996</v>
      </c>
      <c r="F50">
        <v>0.92</v>
      </c>
      <c r="G50">
        <v>0.98</v>
      </c>
      <c r="H50">
        <v>0.98</v>
      </c>
      <c r="J50">
        <v>3</v>
      </c>
      <c r="K50">
        <v>6</v>
      </c>
      <c r="L50">
        <v>0.996</v>
      </c>
      <c r="M50">
        <v>0.92</v>
      </c>
      <c r="N50">
        <v>1</v>
      </c>
      <c r="O50">
        <v>0.996</v>
      </c>
      <c r="P50">
        <v>0.92</v>
      </c>
      <c r="Q50">
        <v>1</v>
      </c>
      <c r="R50">
        <v>0.98</v>
      </c>
      <c r="S50">
        <v>0.98</v>
      </c>
      <c r="T50">
        <v>1</v>
      </c>
      <c r="V50">
        <v>3</v>
      </c>
      <c r="W50">
        <v>6</v>
      </c>
      <c r="X50">
        <v>0.996</v>
      </c>
      <c r="Y50">
        <v>0.92</v>
      </c>
      <c r="Z50">
        <v>1</v>
      </c>
      <c r="AA50">
        <v>0.996</v>
      </c>
      <c r="AB50">
        <v>0.92</v>
      </c>
      <c r="AC50">
        <v>1</v>
      </c>
      <c r="AD50">
        <v>0.98</v>
      </c>
      <c r="AE50">
        <v>0.98</v>
      </c>
      <c r="AF50">
        <v>1</v>
      </c>
    </row>
    <row r="55" spans="1:32" x14ac:dyDescent="0.2">
      <c r="A55">
        <f>COUNT(A57:A61)</f>
        <v>2</v>
      </c>
      <c r="B55">
        <f>COUNTIF(B57:B61,"&gt;4")</f>
        <v>2</v>
      </c>
      <c r="C55" t="s">
        <v>1</v>
      </c>
      <c r="D55" t="s">
        <v>0</v>
      </c>
      <c r="E55" t="s">
        <v>2</v>
      </c>
      <c r="F55" t="s">
        <v>0</v>
      </c>
      <c r="G55" t="s">
        <v>3</v>
      </c>
      <c r="H55" t="s">
        <v>0</v>
      </c>
      <c r="I55" t="s">
        <v>0</v>
      </c>
      <c r="J55">
        <f>COUNT(J57:J61)</f>
        <v>4</v>
      </c>
      <c r="K55">
        <f>COUNTIF(K57:K61,"&gt;4")</f>
        <v>1</v>
      </c>
      <c r="M55">
        <f>COUNTIF(M57:M61,1)</f>
        <v>0</v>
      </c>
      <c r="N55">
        <f>COUNTIF(N57:N61,1)</f>
        <v>0</v>
      </c>
      <c r="O55">
        <f>COUNTIF(O57:O61,"&gt;0")</f>
        <v>4</v>
      </c>
      <c r="P55">
        <f>COUNTIF(P57:P61,1)</f>
        <v>0</v>
      </c>
      <c r="Q55">
        <f>COUNTIF(Q57:Q61,1)</f>
        <v>0</v>
      </c>
      <c r="S55">
        <f>COUNTIF(S57:S61,1)</f>
        <v>0</v>
      </c>
      <c r="T55">
        <f>COUNTIFS(T57:T61,1,K57:K61,"&gt;4")</f>
        <v>1</v>
      </c>
      <c r="U55" t="s">
        <v>0</v>
      </c>
      <c r="V55">
        <f>COUNT(V57:V61)</f>
        <v>3</v>
      </c>
      <c r="W55">
        <f>COUNTIF(W57:W61,"&gt;4")</f>
        <v>1</v>
      </c>
      <c r="Y55">
        <f>COUNTIF(Y57:Y61,1)</f>
        <v>0</v>
      </c>
      <c r="Z55">
        <f>COUNTIF(Z57:Z61,1)</f>
        <v>1</v>
      </c>
      <c r="AA55">
        <f>COUNTIF(AA57:AA61,"&gt;0")</f>
        <v>3</v>
      </c>
      <c r="AB55">
        <f>COUNTIF(AB57:AB61,1)</f>
        <v>0</v>
      </c>
      <c r="AC55">
        <f>COUNTIF(AC57:AC61,1)</f>
        <v>1</v>
      </c>
      <c r="AE55">
        <f>COUNTIF(AE57:AE61,1)</f>
        <v>0</v>
      </c>
      <c r="AF55">
        <f>COUNTIFS(AF57:AF61,1,W57:W61,"&gt;4")</f>
        <v>1</v>
      </c>
    </row>
    <row r="56" spans="1:32" x14ac:dyDescent="0.2">
      <c r="A56" t="s">
        <v>4</v>
      </c>
      <c r="B56" t="s">
        <v>5</v>
      </c>
      <c r="C56" t="s">
        <v>6</v>
      </c>
      <c r="D56" t="s">
        <v>7</v>
      </c>
      <c r="E56" t="s">
        <v>6</v>
      </c>
      <c r="F56" t="s">
        <v>7</v>
      </c>
      <c r="G56" t="s">
        <v>6</v>
      </c>
      <c r="H56" t="s">
        <v>7</v>
      </c>
      <c r="I56" t="s">
        <v>0</v>
      </c>
      <c r="J56" t="s">
        <v>4</v>
      </c>
      <c r="K56" t="s">
        <v>5</v>
      </c>
      <c r="L56" t="s">
        <v>6</v>
      </c>
      <c r="M56" t="s">
        <v>7</v>
      </c>
      <c r="N56" t="s">
        <v>8</v>
      </c>
      <c r="O56" t="s">
        <v>6</v>
      </c>
      <c r="P56" t="s">
        <v>7</v>
      </c>
      <c r="Q56" t="s">
        <v>9</v>
      </c>
      <c r="R56" t="s">
        <v>6</v>
      </c>
      <c r="S56" t="s">
        <v>7</v>
      </c>
      <c r="T56" t="s">
        <v>8</v>
      </c>
      <c r="U56" t="s">
        <v>0</v>
      </c>
      <c r="V56" t="s">
        <v>10</v>
      </c>
      <c r="W56" t="s">
        <v>5</v>
      </c>
      <c r="X56" t="s">
        <v>6</v>
      </c>
      <c r="Y56" t="s">
        <v>7</v>
      </c>
      <c r="Z56" t="s">
        <v>8</v>
      </c>
      <c r="AA56" t="s">
        <v>6</v>
      </c>
      <c r="AB56" t="s">
        <v>7</v>
      </c>
      <c r="AC56" t="s">
        <v>8</v>
      </c>
      <c r="AD56" t="s">
        <v>6</v>
      </c>
      <c r="AE56" t="s">
        <v>7</v>
      </c>
      <c r="AF56" t="s">
        <v>8</v>
      </c>
    </row>
    <row r="57" spans="1:32" x14ac:dyDescent="0.2">
      <c r="A57">
        <v>1</v>
      </c>
      <c r="B57">
        <v>7</v>
      </c>
      <c r="C57">
        <v>0.93100000000000005</v>
      </c>
      <c r="D57">
        <v>0.38</v>
      </c>
      <c r="E57">
        <v>0.93100000000000005</v>
      </c>
      <c r="F57">
        <v>0.38</v>
      </c>
      <c r="G57">
        <v>0.88100000000000001</v>
      </c>
      <c r="H57">
        <v>0.87</v>
      </c>
      <c r="J57">
        <v>1</v>
      </c>
      <c r="K57">
        <v>4</v>
      </c>
      <c r="L57">
        <v>0.83699999999999997</v>
      </c>
      <c r="M57">
        <v>0.13</v>
      </c>
      <c r="N57">
        <v>0.85699999999999998</v>
      </c>
      <c r="O57">
        <v>0.83699999999999997</v>
      </c>
      <c r="P57">
        <v>0.13</v>
      </c>
      <c r="Q57">
        <v>0.85699999999999998</v>
      </c>
      <c r="R57">
        <v>0.11</v>
      </c>
      <c r="S57">
        <v>0.11</v>
      </c>
      <c r="T57">
        <v>0</v>
      </c>
      <c r="V57">
        <v>1</v>
      </c>
      <c r="W57">
        <v>7</v>
      </c>
      <c r="X57">
        <v>0.93100000000000005</v>
      </c>
      <c r="Y57">
        <v>0.38</v>
      </c>
      <c r="Z57">
        <v>1</v>
      </c>
      <c r="AA57">
        <v>0.93100000000000005</v>
      </c>
      <c r="AB57">
        <v>0.38</v>
      </c>
      <c r="AC57">
        <v>1</v>
      </c>
      <c r="AD57">
        <v>0.88100000000000001</v>
      </c>
      <c r="AE57">
        <v>0.87</v>
      </c>
      <c r="AF57">
        <v>1</v>
      </c>
    </row>
    <row r="58" spans="1:32" x14ac:dyDescent="0.2">
      <c r="A58">
        <v>2</v>
      </c>
      <c r="B58">
        <v>6</v>
      </c>
      <c r="C58">
        <v>0.92300000000000004</v>
      </c>
      <c r="D58">
        <v>0.19</v>
      </c>
      <c r="E58">
        <v>0.92300000000000004</v>
      </c>
      <c r="F58">
        <v>0.19</v>
      </c>
      <c r="G58">
        <v>0.21</v>
      </c>
      <c r="H58">
        <v>0.21</v>
      </c>
      <c r="J58">
        <v>2</v>
      </c>
      <c r="K58">
        <v>5</v>
      </c>
      <c r="L58">
        <v>0.94099999999999995</v>
      </c>
      <c r="M58">
        <v>0.3</v>
      </c>
      <c r="N58">
        <v>0.90500000000000003</v>
      </c>
      <c r="O58">
        <v>0.94099999999999995</v>
      </c>
      <c r="P58">
        <v>0.3</v>
      </c>
      <c r="Q58">
        <v>0.90500000000000003</v>
      </c>
      <c r="R58">
        <v>0.88100000000000001</v>
      </c>
      <c r="S58">
        <v>0.87</v>
      </c>
      <c r="T58">
        <v>1</v>
      </c>
      <c r="V58">
        <v>2</v>
      </c>
      <c r="W58">
        <v>4</v>
      </c>
      <c r="X58">
        <v>0.97</v>
      </c>
      <c r="Y58">
        <v>0.74</v>
      </c>
      <c r="Z58">
        <v>0.90500000000000003</v>
      </c>
      <c r="AA58">
        <v>0.97</v>
      </c>
      <c r="AB58">
        <v>0.74</v>
      </c>
      <c r="AC58">
        <v>0.90500000000000003</v>
      </c>
      <c r="AD58">
        <v>0.73</v>
      </c>
      <c r="AE58">
        <v>0.73</v>
      </c>
      <c r="AF58">
        <v>0.28599999999999998</v>
      </c>
    </row>
    <row r="59" spans="1:32" x14ac:dyDescent="0.2">
      <c r="J59">
        <v>3</v>
      </c>
      <c r="K59">
        <v>4</v>
      </c>
      <c r="L59">
        <v>0.97</v>
      </c>
      <c r="M59">
        <v>0.74</v>
      </c>
      <c r="N59">
        <v>0.90500000000000003</v>
      </c>
      <c r="O59">
        <v>0.97</v>
      </c>
      <c r="P59">
        <v>0.74</v>
      </c>
      <c r="Q59">
        <v>0.90500000000000003</v>
      </c>
      <c r="R59">
        <v>0.73</v>
      </c>
      <c r="S59">
        <v>0.73</v>
      </c>
      <c r="T59">
        <v>0.28599999999999998</v>
      </c>
      <c r="V59">
        <v>3</v>
      </c>
      <c r="W59">
        <v>4</v>
      </c>
      <c r="X59">
        <v>0.98</v>
      </c>
      <c r="Y59">
        <v>0.79</v>
      </c>
      <c r="Z59">
        <v>0.90500000000000003</v>
      </c>
      <c r="AA59">
        <v>0.98</v>
      </c>
      <c r="AB59">
        <v>0.79</v>
      </c>
      <c r="AC59">
        <v>0.90500000000000003</v>
      </c>
      <c r="AD59">
        <v>0.81</v>
      </c>
      <c r="AE59">
        <v>0.81</v>
      </c>
      <c r="AF59">
        <v>0.28599999999999998</v>
      </c>
    </row>
    <row r="60" spans="1:32" x14ac:dyDescent="0.2">
      <c r="J60">
        <v>4</v>
      </c>
      <c r="K60">
        <v>4</v>
      </c>
      <c r="L60">
        <v>0.98</v>
      </c>
      <c r="M60">
        <v>0.79</v>
      </c>
      <c r="N60">
        <v>0.90500000000000003</v>
      </c>
      <c r="O60">
        <v>0.98</v>
      </c>
      <c r="P60">
        <v>0.79</v>
      </c>
      <c r="Q60">
        <v>0.90500000000000003</v>
      </c>
      <c r="R60">
        <v>0.81</v>
      </c>
      <c r="S60">
        <v>0.81</v>
      </c>
      <c r="T60">
        <v>0.28599999999999998</v>
      </c>
    </row>
    <row r="65" spans="1:32" x14ac:dyDescent="0.2">
      <c r="A65">
        <f>COUNT(A67:A71)</f>
        <v>4</v>
      </c>
      <c r="B65">
        <f>COUNTIF(B67:B71,"&gt;4")</f>
        <v>1</v>
      </c>
      <c r="C65" t="s">
        <v>1</v>
      </c>
      <c r="D65" t="s">
        <v>0</v>
      </c>
      <c r="E65" t="s">
        <v>2</v>
      </c>
      <c r="F65" t="s">
        <v>0</v>
      </c>
      <c r="G65" t="s">
        <v>3</v>
      </c>
      <c r="H65" t="s">
        <v>0</v>
      </c>
      <c r="I65" t="s">
        <v>0</v>
      </c>
      <c r="J65">
        <f>COUNT(J67:J71)</f>
        <v>3</v>
      </c>
      <c r="K65">
        <f>COUNTIF(K67:K71,"&gt;4")</f>
        <v>0</v>
      </c>
      <c r="M65">
        <f>COUNTIF(M67:M71,1)</f>
        <v>0</v>
      </c>
      <c r="N65">
        <f>COUNTIF(N67:N71,1)</f>
        <v>1</v>
      </c>
      <c r="O65">
        <f>COUNTIF(O67:O71,"&gt;0")</f>
        <v>3</v>
      </c>
      <c r="P65">
        <f>COUNTIF(P67:P71,1)</f>
        <v>0</v>
      </c>
      <c r="Q65">
        <f>COUNTIF(Q67:Q71,1)</f>
        <v>1</v>
      </c>
      <c r="S65">
        <f>COUNTIF(S67:S71,1)</f>
        <v>0</v>
      </c>
      <c r="T65">
        <f>COUNTIFS(T67:T71,1,K67:K71,"&gt;4")</f>
        <v>0</v>
      </c>
      <c r="U65" t="s">
        <v>0</v>
      </c>
      <c r="V65">
        <f>COUNT(V67:V71)</f>
        <v>5</v>
      </c>
      <c r="W65">
        <f>COUNTIF(W67:W71,"&gt;4")</f>
        <v>0</v>
      </c>
      <c r="Y65">
        <f>COUNTIF(Y67:Y71,1)</f>
        <v>0</v>
      </c>
      <c r="Z65">
        <f>COUNTIF(Z67:Z71,1)</f>
        <v>1</v>
      </c>
      <c r="AA65">
        <f>COUNTIF(AA67:AA71,"&gt;0")</f>
        <v>5</v>
      </c>
      <c r="AB65">
        <f>COUNTIF(AB67:AB71,1)</f>
        <v>0</v>
      </c>
      <c r="AC65">
        <f>COUNTIF(AC67:AC71,1)</f>
        <v>1</v>
      </c>
      <c r="AE65">
        <f>COUNTIF(AE67:AE71,1)</f>
        <v>0</v>
      </c>
      <c r="AF65">
        <f>COUNTIFS(AF67:AF71,1,W67:W71,"&gt;4")</f>
        <v>0</v>
      </c>
    </row>
    <row r="66" spans="1:32" x14ac:dyDescent="0.2">
      <c r="A66" t="s">
        <v>4</v>
      </c>
      <c r="B66" t="s">
        <v>5</v>
      </c>
      <c r="C66" t="s">
        <v>6</v>
      </c>
      <c r="D66" t="s">
        <v>7</v>
      </c>
      <c r="E66" t="s">
        <v>6</v>
      </c>
      <c r="F66" t="s">
        <v>7</v>
      </c>
      <c r="G66" t="s">
        <v>6</v>
      </c>
      <c r="H66" t="s">
        <v>7</v>
      </c>
      <c r="I66" t="s">
        <v>0</v>
      </c>
      <c r="J66" t="s">
        <v>4</v>
      </c>
      <c r="K66" t="s">
        <v>5</v>
      </c>
      <c r="L66" t="s">
        <v>6</v>
      </c>
      <c r="M66" t="s">
        <v>7</v>
      </c>
      <c r="N66" t="s">
        <v>8</v>
      </c>
      <c r="O66" t="s">
        <v>6</v>
      </c>
      <c r="P66" t="s">
        <v>7</v>
      </c>
      <c r="Q66" t="s">
        <v>9</v>
      </c>
      <c r="R66" t="s">
        <v>6</v>
      </c>
      <c r="S66" t="s">
        <v>7</v>
      </c>
      <c r="T66" t="s">
        <v>8</v>
      </c>
      <c r="U66" t="s">
        <v>0</v>
      </c>
      <c r="V66" t="s">
        <v>10</v>
      </c>
      <c r="W66" t="s">
        <v>5</v>
      </c>
      <c r="X66" t="s">
        <v>6</v>
      </c>
      <c r="Y66" t="s">
        <v>7</v>
      </c>
      <c r="Z66" t="s">
        <v>8</v>
      </c>
      <c r="AA66" t="s">
        <v>6</v>
      </c>
      <c r="AB66" t="s">
        <v>7</v>
      </c>
      <c r="AC66" t="s">
        <v>8</v>
      </c>
      <c r="AD66" t="s">
        <v>6</v>
      </c>
      <c r="AE66" t="s">
        <v>7</v>
      </c>
      <c r="AF66" t="s">
        <v>8</v>
      </c>
    </row>
    <row r="67" spans="1:32" x14ac:dyDescent="0.2">
      <c r="A67">
        <v>1</v>
      </c>
      <c r="B67">
        <v>4</v>
      </c>
      <c r="C67">
        <v>0.79</v>
      </c>
      <c r="D67">
        <v>0.27</v>
      </c>
      <c r="E67">
        <v>0.79</v>
      </c>
      <c r="F67">
        <v>0.27</v>
      </c>
      <c r="G67">
        <v>0.186</v>
      </c>
      <c r="H67">
        <v>0.09</v>
      </c>
      <c r="J67">
        <v>1</v>
      </c>
      <c r="K67">
        <v>4</v>
      </c>
      <c r="L67">
        <v>0.92800000000000005</v>
      </c>
      <c r="M67">
        <v>0.79</v>
      </c>
      <c r="N67">
        <v>0.76200000000000001</v>
      </c>
      <c r="O67">
        <v>0.92600000000000005</v>
      </c>
      <c r="P67">
        <v>0.74</v>
      </c>
      <c r="Q67">
        <v>0.76200000000000001</v>
      </c>
      <c r="R67">
        <v>0.76800000000000002</v>
      </c>
      <c r="S67">
        <v>0.74</v>
      </c>
      <c r="T67">
        <v>0</v>
      </c>
      <c r="V67">
        <v>1</v>
      </c>
      <c r="W67">
        <v>4</v>
      </c>
      <c r="X67">
        <v>0.86199999999999999</v>
      </c>
      <c r="Y67">
        <v>0.73</v>
      </c>
      <c r="Z67">
        <v>0.61899999999999999</v>
      </c>
      <c r="AA67">
        <v>0.86199999999999999</v>
      </c>
      <c r="AB67">
        <v>0.73</v>
      </c>
      <c r="AC67">
        <v>0.61899999999999999</v>
      </c>
      <c r="AD67">
        <v>0.77800000000000002</v>
      </c>
      <c r="AE67">
        <v>0.73</v>
      </c>
      <c r="AF67">
        <v>0</v>
      </c>
    </row>
    <row r="68" spans="1:32" x14ac:dyDescent="0.2">
      <c r="A68">
        <v>2</v>
      </c>
      <c r="B68">
        <v>4</v>
      </c>
      <c r="C68">
        <v>0.73399999999999999</v>
      </c>
      <c r="D68">
        <v>0.26</v>
      </c>
      <c r="E68">
        <v>0.73399999999999999</v>
      </c>
      <c r="F68">
        <v>0.25</v>
      </c>
      <c r="G68">
        <v>8.0000000000000002E-3</v>
      </c>
      <c r="H68">
        <v>0</v>
      </c>
      <c r="J68">
        <v>2</v>
      </c>
      <c r="K68">
        <v>4</v>
      </c>
      <c r="L68">
        <v>0.89500000000000002</v>
      </c>
      <c r="M68">
        <v>0.39</v>
      </c>
      <c r="N68">
        <v>0.95199999999999996</v>
      </c>
      <c r="O68">
        <v>0.89500000000000002</v>
      </c>
      <c r="P68">
        <v>0.39</v>
      </c>
      <c r="Q68">
        <v>0.95199999999999996</v>
      </c>
      <c r="R68">
        <v>0.624</v>
      </c>
      <c r="S68">
        <v>0.57999999999999996</v>
      </c>
      <c r="T68">
        <v>1</v>
      </c>
      <c r="V68">
        <v>2</v>
      </c>
      <c r="W68">
        <v>4</v>
      </c>
      <c r="X68">
        <v>0.92800000000000005</v>
      </c>
      <c r="Y68">
        <v>0.79</v>
      </c>
      <c r="Z68">
        <v>0.76200000000000001</v>
      </c>
      <c r="AA68">
        <v>0.92600000000000005</v>
      </c>
      <c r="AB68">
        <v>0.74</v>
      </c>
      <c r="AC68">
        <v>0.76200000000000001</v>
      </c>
      <c r="AD68">
        <v>0.76800000000000002</v>
      </c>
      <c r="AE68">
        <v>0.74</v>
      </c>
      <c r="AF68">
        <v>0</v>
      </c>
    </row>
    <row r="69" spans="1:32" x14ac:dyDescent="0.2">
      <c r="A69">
        <v>3</v>
      </c>
      <c r="B69">
        <v>5</v>
      </c>
      <c r="C69">
        <v>0.88500000000000001</v>
      </c>
      <c r="D69">
        <v>0.17</v>
      </c>
      <c r="E69">
        <v>0.875</v>
      </c>
      <c r="F69">
        <v>0.03</v>
      </c>
      <c r="G69">
        <v>0.624</v>
      </c>
      <c r="H69">
        <v>0.57999999999999996</v>
      </c>
      <c r="J69">
        <v>3</v>
      </c>
      <c r="K69">
        <v>4</v>
      </c>
      <c r="L69">
        <v>0.98399999999999999</v>
      </c>
      <c r="M69">
        <v>0.96</v>
      </c>
      <c r="N69">
        <v>1</v>
      </c>
      <c r="O69">
        <v>0.98399999999999999</v>
      </c>
      <c r="P69">
        <v>0.96</v>
      </c>
      <c r="Q69">
        <v>1</v>
      </c>
      <c r="R69">
        <v>0.95299999999999996</v>
      </c>
      <c r="S69">
        <v>0.94</v>
      </c>
      <c r="T69">
        <v>0.111</v>
      </c>
      <c r="V69">
        <v>3</v>
      </c>
      <c r="W69">
        <v>4</v>
      </c>
      <c r="X69">
        <v>0.89500000000000002</v>
      </c>
      <c r="Y69">
        <v>0.39</v>
      </c>
      <c r="Z69">
        <v>0.95199999999999996</v>
      </c>
      <c r="AA69">
        <v>0.89500000000000002</v>
      </c>
      <c r="AB69">
        <v>0.39</v>
      </c>
      <c r="AC69">
        <v>0.95199999999999996</v>
      </c>
      <c r="AD69">
        <v>0.624</v>
      </c>
      <c r="AE69">
        <v>0.57999999999999996</v>
      </c>
      <c r="AF69">
        <v>1</v>
      </c>
    </row>
    <row r="70" spans="1:32" x14ac:dyDescent="0.2">
      <c r="A70">
        <v>4</v>
      </c>
      <c r="B70">
        <v>4</v>
      </c>
      <c r="C70">
        <v>0.98399999999999999</v>
      </c>
      <c r="D70">
        <v>0.96</v>
      </c>
      <c r="E70">
        <v>0.98399999999999999</v>
      </c>
      <c r="F70">
        <v>0.96</v>
      </c>
      <c r="G70">
        <v>1E-3</v>
      </c>
      <c r="H70">
        <v>0</v>
      </c>
      <c r="V70">
        <v>4</v>
      </c>
      <c r="W70">
        <v>4</v>
      </c>
      <c r="X70">
        <v>0.98399999999999999</v>
      </c>
      <c r="Y70">
        <v>0.96</v>
      </c>
      <c r="Z70">
        <v>1</v>
      </c>
      <c r="AA70">
        <v>0.98399999999999999</v>
      </c>
      <c r="AB70">
        <v>0.96</v>
      </c>
      <c r="AC70">
        <v>1</v>
      </c>
      <c r="AD70">
        <v>0.95299999999999996</v>
      </c>
      <c r="AE70">
        <v>0.94</v>
      </c>
      <c r="AF70">
        <v>0.111</v>
      </c>
    </row>
    <row r="71" spans="1:32" x14ac:dyDescent="0.2">
      <c r="V71">
        <v>5</v>
      </c>
      <c r="W71">
        <v>4</v>
      </c>
      <c r="X71">
        <v>0.83399999999999996</v>
      </c>
      <c r="Y71">
        <v>0.47</v>
      </c>
      <c r="Z71">
        <v>0.66700000000000004</v>
      </c>
      <c r="AA71">
        <v>0.83199999999999996</v>
      </c>
      <c r="AB71">
        <v>0.43</v>
      </c>
      <c r="AC71">
        <v>0.66700000000000004</v>
      </c>
      <c r="AD71">
        <v>0.51600000000000001</v>
      </c>
      <c r="AE71">
        <v>0.46</v>
      </c>
      <c r="AF71">
        <v>0</v>
      </c>
    </row>
    <row r="76" spans="1:32" x14ac:dyDescent="0.2">
      <c r="A76">
        <f>COUNT(A78:A82)</f>
        <v>4</v>
      </c>
      <c r="B76">
        <f>COUNTIF(B78:B82,"&gt;4")</f>
        <v>1</v>
      </c>
      <c r="C76" t="s">
        <v>1</v>
      </c>
      <c r="D76" t="s">
        <v>0</v>
      </c>
      <c r="E76" t="s">
        <v>2</v>
      </c>
      <c r="F76" t="s">
        <v>0</v>
      </c>
      <c r="G76" t="s">
        <v>3</v>
      </c>
      <c r="H76" t="s">
        <v>0</v>
      </c>
      <c r="I76" t="s">
        <v>0</v>
      </c>
      <c r="J76">
        <f>COUNT(J78:J82)</f>
        <v>5</v>
      </c>
      <c r="K76">
        <f>COUNTIF(K78:K82,"&gt;4")</f>
        <v>1</v>
      </c>
      <c r="M76">
        <f>COUNTIF(M78:M82,1)</f>
        <v>1</v>
      </c>
      <c r="N76">
        <f>COUNTIF(N78:N82,1)</f>
        <v>4</v>
      </c>
      <c r="O76">
        <f>COUNTIF(O78:O82,"&gt;0")</f>
        <v>5</v>
      </c>
      <c r="P76">
        <f>COUNTIF(P78:P82,1)</f>
        <v>1</v>
      </c>
      <c r="Q76">
        <f>COUNTIF(Q78:Q82,1)</f>
        <v>4</v>
      </c>
      <c r="S76">
        <f>COUNTIF(S78:S82,1)</f>
        <v>0</v>
      </c>
      <c r="T76">
        <f>COUNTIFS(T78:T82,1,K78:K82,"&gt;4")</f>
        <v>1</v>
      </c>
      <c r="U76" t="s">
        <v>0</v>
      </c>
      <c r="V76">
        <f>COUNT(V78:V82)</f>
        <v>5</v>
      </c>
      <c r="W76">
        <f>COUNTIF(W78:W82,"&gt;4")</f>
        <v>1</v>
      </c>
      <c r="Y76">
        <f>COUNTIF(Y78:Y82,1)</f>
        <v>1</v>
      </c>
      <c r="Z76">
        <f>COUNTIF(Z78:Z82,1)</f>
        <v>4</v>
      </c>
      <c r="AA76">
        <f>COUNTIF(AA78:AA82,"&gt;0")</f>
        <v>5</v>
      </c>
      <c r="AB76">
        <f>COUNTIF(AB78:AB82,1)</f>
        <v>1</v>
      </c>
      <c r="AC76">
        <f>COUNTIF(AC78:AC82,1)</f>
        <v>4</v>
      </c>
      <c r="AE76">
        <f>COUNTIF(AE78:AE82,1)</f>
        <v>0</v>
      </c>
      <c r="AF76">
        <f>COUNTIFS(AF78:AF82,1,W78:W82,"&gt;4")</f>
        <v>1</v>
      </c>
    </row>
    <row r="77" spans="1:32" x14ac:dyDescent="0.2">
      <c r="A77" t="s">
        <v>4</v>
      </c>
      <c r="B77" t="s">
        <v>5</v>
      </c>
      <c r="C77" t="s">
        <v>6</v>
      </c>
      <c r="D77" t="s">
        <v>7</v>
      </c>
      <c r="E77" t="s">
        <v>6</v>
      </c>
      <c r="F77" t="s">
        <v>7</v>
      </c>
      <c r="G77" t="s">
        <v>6</v>
      </c>
      <c r="H77" t="s">
        <v>7</v>
      </c>
      <c r="I77" t="s">
        <v>0</v>
      </c>
      <c r="J77" t="s">
        <v>4</v>
      </c>
      <c r="K77" t="s">
        <v>5</v>
      </c>
      <c r="L77" t="s">
        <v>6</v>
      </c>
      <c r="M77" t="s">
        <v>7</v>
      </c>
      <c r="N77" t="s">
        <v>8</v>
      </c>
      <c r="O77" t="s">
        <v>6</v>
      </c>
      <c r="P77" t="s">
        <v>7</v>
      </c>
      <c r="Q77" t="s">
        <v>9</v>
      </c>
      <c r="R77" t="s">
        <v>6</v>
      </c>
      <c r="S77" t="s">
        <v>7</v>
      </c>
      <c r="T77" t="s">
        <v>8</v>
      </c>
      <c r="U77" t="s">
        <v>0</v>
      </c>
      <c r="V77" t="s">
        <v>10</v>
      </c>
      <c r="W77" t="s">
        <v>5</v>
      </c>
      <c r="X77" t="s">
        <v>6</v>
      </c>
      <c r="Y77" t="s">
        <v>7</v>
      </c>
      <c r="Z77" t="s">
        <v>8</v>
      </c>
      <c r="AA77" t="s">
        <v>6</v>
      </c>
      <c r="AB77" t="s">
        <v>7</v>
      </c>
      <c r="AC77" t="s">
        <v>8</v>
      </c>
      <c r="AD77" t="s">
        <v>6</v>
      </c>
      <c r="AE77" t="s">
        <v>7</v>
      </c>
      <c r="AF77" t="s">
        <v>8</v>
      </c>
    </row>
    <row r="78" spans="1:32" x14ac:dyDescent="0.2">
      <c r="A78">
        <v>1</v>
      </c>
      <c r="B78">
        <v>5</v>
      </c>
      <c r="C78">
        <v>0.99099999999999999</v>
      </c>
      <c r="D78">
        <v>0.81</v>
      </c>
      <c r="E78">
        <v>0.99099999999999999</v>
      </c>
      <c r="F78">
        <v>0.81</v>
      </c>
      <c r="G78">
        <v>0.8</v>
      </c>
      <c r="H78">
        <v>0.8</v>
      </c>
      <c r="J78">
        <v>1</v>
      </c>
      <c r="K78">
        <v>4</v>
      </c>
      <c r="L78">
        <v>0.86299999999999999</v>
      </c>
      <c r="M78">
        <v>0.62</v>
      </c>
      <c r="N78">
        <v>0.52400000000000002</v>
      </c>
      <c r="O78">
        <v>0.86299999999999999</v>
      </c>
      <c r="P78">
        <v>0.62</v>
      </c>
      <c r="Q78">
        <v>0.52400000000000002</v>
      </c>
      <c r="R78">
        <v>0.754</v>
      </c>
      <c r="S78">
        <v>0.72</v>
      </c>
      <c r="T78">
        <v>0</v>
      </c>
      <c r="V78">
        <v>1</v>
      </c>
      <c r="W78">
        <v>4</v>
      </c>
      <c r="X78">
        <v>0.86299999999999999</v>
      </c>
      <c r="Y78">
        <v>0.62</v>
      </c>
      <c r="Z78">
        <v>0.52400000000000002</v>
      </c>
      <c r="AA78">
        <v>0.86299999999999999</v>
      </c>
      <c r="AB78">
        <v>0.62</v>
      </c>
      <c r="AC78">
        <v>0.52400000000000002</v>
      </c>
      <c r="AD78">
        <v>0.754</v>
      </c>
      <c r="AE78">
        <v>0.72</v>
      </c>
      <c r="AF78">
        <v>0</v>
      </c>
    </row>
    <row r="79" spans="1:32" x14ac:dyDescent="0.2">
      <c r="A79">
        <v>2</v>
      </c>
      <c r="B79">
        <v>4</v>
      </c>
      <c r="C79">
        <v>0.90400000000000003</v>
      </c>
      <c r="D79">
        <v>0.78</v>
      </c>
      <c r="E79">
        <v>0.90400000000000003</v>
      </c>
      <c r="F79">
        <v>0.78</v>
      </c>
      <c r="G79">
        <v>0.219</v>
      </c>
      <c r="H79">
        <v>0</v>
      </c>
      <c r="J79">
        <v>2</v>
      </c>
      <c r="K79">
        <v>5</v>
      </c>
      <c r="L79">
        <v>0.99099999999999999</v>
      </c>
      <c r="M79">
        <v>0.81</v>
      </c>
      <c r="N79">
        <v>1</v>
      </c>
      <c r="O79">
        <v>0.99099999999999999</v>
      </c>
      <c r="P79">
        <v>0.81</v>
      </c>
      <c r="Q79">
        <v>1</v>
      </c>
      <c r="R79">
        <v>0.8</v>
      </c>
      <c r="S79">
        <v>0.8</v>
      </c>
      <c r="T79">
        <v>1</v>
      </c>
      <c r="V79">
        <v>2</v>
      </c>
      <c r="W79">
        <v>5</v>
      </c>
      <c r="X79">
        <v>0.99099999999999999</v>
      </c>
      <c r="Y79">
        <v>0.81</v>
      </c>
      <c r="Z79">
        <v>1</v>
      </c>
      <c r="AA79">
        <v>0.99099999999999999</v>
      </c>
      <c r="AB79">
        <v>0.81</v>
      </c>
      <c r="AC79">
        <v>1</v>
      </c>
      <c r="AD79">
        <v>0.8</v>
      </c>
      <c r="AE79">
        <v>0.8</v>
      </c>
      <c r="AF79">
        <v>1</v>
      </c>
    </row>
    <row r="80" spans="1:32" x14ac:dyDescent="0.2">
      <c r="A80">
        <v>3</v>
      </c>
      <c r="B80">
        <v>4</v>
      </c>
      <c r="C80">
        <v>0.98299999999999998</v>
      </c>
      <c r="D80">
        <v>0.72</v>
      </c>
      <c r="E80">
        <v>0.98299999999999998</v>
      </c>
      <c r="F80">
        <v>0.72</v>
      </c>
      <c r="G80">
        <v>3.1E-2</v>
      </c>
      <c r="H80">
        <v>0.01</v>
      </c>
      <c r="J80">
        <v>3</v>
      </c>
      <c r="K80">
        <v>4</v>
      </c>
      <c r="L80">
        <v>0.90400000000000003</v>
      </c>
      <c r="M80">
        <v>0.78</v>
      </c>
      <c r="N80">
        <v>1</v>
      </c>
      <c r="O80">
        <v>0.90400000000000003</v>
      </c>
      <c r="P80">
        <v>0.78</v>
      </c>
      <c r="Q80">
        <v>1</v>
      </c>
      <c r="R80">
        <v>0.78600000000000003</v>
      </c>
      <c r="S80">
        <v>0.77</v>
      </c>
      <c r="T80">
        <v>0</v>
      </c>
      <c r="V80">
        <v>3</v>
      </c>
      <c r="W80">
        <v>4</v>
      </c>
      <c r="X80">
        <v>0.90400000000000003</v>
      </c>
      <c r="Y80">
        <v>0.78</v>
      </c>
      <c r="Z80">
        <v>1</v>
      </c>
      <c r="AA80">
        <v>0.90400000000000003</v>
      </c>
      <c r="AB80">
        <v>0.78</v>
      </c>
      <c r="AC80">
        <v>1</v>
      </c>
      <c r="AD80">
        <v>0.78600000000000003</v>
      </c>
      <c r="AE80">
        <v>0.77</v>
      </c>
      <c r="AF80">
        <v>0</v>
      </c>
    </row>
    <row r="81" spans="1:32" x14ac:dyDescent="0.2">
      <c r="A81">
        <v>4</v>
      </c>
      <c r="B81">
        <v>4</v>
      </c>
      <c r="C81">
        <v>1</v>
      </c>
      <c r="D81">
        <v>1</v>
      </c>
      <c r="E81">
        <v>1</v>
      </c>
      <c r="F81">
        <v>1</v>
      </c>
      <c r="G81">
        <v>0.439</v>
      </c>
      <c r="H81">
        <v>0.43</v>
      </c>
      <c r="J81">
        <v>4</v>
      </c>
      <c r="K81">
        <v>4</v>
      </c>
      <c r="L81">
        <v>0.98299999999999998</v>
      </c>
      <c r="M81">
        <v>0.72</v>
      </c>
      <c r="N81">
        <v>1</v>
      </c>
      <c r="O81">
        <v>0.98299999999999998</v>
      </c>
      <c r="P81">
        <v>0.72</v>
      </c>
      <c r="Q81">
        <v>1</v>
      </c>
      <c r="R81">
        <v>0.93200000000000005</v>
      </c>
      <c r="S81">
        <v>0.93</v>
      </c>
      <c r="T81">
        <v>0</v>
      </c>
      <c r="V81">
        <v>4</v>
      </c>
      <c r="W81">
        <v>4</v>
      </c>
      <c r="X81">
        <v>0.98299999999999998</v>
      </c>
      <c r="Y81">
        <v>0.72</v>
      </c>
      <c r="Z81">
        <v>1</v>
      </c>
      <c r="AA81">
        <v>0.98299999999999998</v>
      </c>
      <c r="AB81">
        <v>0.72</v>
      </c>
      <c r="AC81">
        <v>1</v>
      </c>
      <c r="AD81">
        <v>0.93200000000000005</v>
      </c>
      <c r="AE81">
        <v>0.93</v>
      </c>
      <c r="AF81">
        <v>0</v>
      </c>
    </row>
    <row r="82" spans="1:32" x14ac:dyDescent="0.2">
      <c r="J82">
        <v>5</v>
      </c>
      <c r="K82">
        <v>4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0.439</v>
      </c>
      <c r="S82">
        <v>0.43</v>
      </c>
      <c r="T82">
        <v>1</v>
      </c>
      <c r="V82">
        <v>5</v>
      </c>
      <c r="W82">
        <v>4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0.439</v>
      </c>
      <c r="AE82">
        <v>0.43</v>
      </c>
      <c r="AF82">
        <v>1</v>
      </c>
    </row>
    <row r="87" spans="1:32" x14ac:dyDescent="0.2">
      <c r="A87">
        <f>COUNT(A89:A93)</f>
        <v>2</v>
      </c>
      <c r="B87">
        <f>COUNTIF(B89:B93,"&gt;4")</f>
        <v>2</v>
      </c>
      <c r="C87" t="s">
        <v>1</v>
      </c>
      <c r="D87" t="s">
        <v>0</v>
      </c>
      <c r="E87" t="s">
        <v>2</v>
      </c>
      <c r="F87" t="s">
        <v>0</v>
      </c>
      <c r="G87" t="s">
        <v>3</v>
      </c>
      <c r="H87" t="s">
        <v>0</v>
      </c>
      <c r="I87" t="s">
        <v>0</v>
      </c>
      <c r="J87">
        <f>COUNT(J89:J93)</f>
        <v>3</v>
      </c>
      <c r="K87">
        <f>COUNTIF(K89:K93,"&gt;4")</f>
        <v>2</v>
      </c>
      <c r="M87">
        <f>COUNTIF(M89:M93,1)</f>
        <v>0</v>
      </c>
      <c r="N87">
        <f>COUNTIF(N89:N93,1)</f>
        <v>2</v>
      </c>
      <c r="O87">
        <f>COUNTIF(O89:O93,"&gt;0")</f>
        <v>3</v>
      </c>
      <c r="P87">
        <f>COUNTIF(P89:P93,1)</f>
        <v>0</v>
      </c>
      <c r="Q87">
        <f>COUNTIF(Q89:Q93,1)</f>
        <v>2</v>
      </c>
      <c r="S87">
        <f>COUNTIF(S89:S93,1)</f>
        <v>1</v>
      </c>
      <c r="T87">
        <f>COUNTIFS(T89:T93,1,K89:K93,"&gt;4")</f>
        <v>2</v>
      </c>
      <c r="U87" t="s">
        <v>0</v>
      </c>
      <c r="V87">
        <f>COUNT(V89:V93)</f>
        <v>3</v>
      </c>
      <c r="W87">
        <f>COUNTIF(W89:W93,"&gt;4")</f>
        <v>2</v>
      </c>
      <c r="Y87">
        <f>COUNTIF(Y89:Y93,1)</f>
        <v>0</v>
      </c>
      <c r="Z87">
        <f>COUNTIF(Z89:Z93,1)</f>
        <v>2</v>
      </c>
      <c r="AA87">
        <f>COUNTIF(AA89:AA93,"&gt;0")</f>
        <v>3</v>
      </c>
      <c r="AB87">
        <f>COUNTIF(AB89:AB93,1)</f>
        <v>0</v>
      </c>
      <c r="AC87">
        <f>COUNTIF(AC89:AC93,1)</f>
        <v>2</v>
      </c>
      <c r="AE87">
        <f>COUNTIF(AE89:AE93,1)</f>
        <v>1</v>
      </c>
      <c r="AF87">
        <f>COUNTIFS(AF89:AF93,1,W89:W93,"&gt;4")</f>
        <v>2</v>
      </c>
    </row>
    <row r="88" spans="1:32" x14ac:dyDescent="0.2">
      <c r="A88" t="s">
        <v>4</v>
      </c>
      <c r="B88" t="s">
        <v>5</v>
      </c>
      <c r="C88" t="s">
        <v>6</v>
      </c>
      <c r="D88" t="s">
        <v>7</v>
      </c>
      <c r="E88" t="s">
        <v>6</v>
      </c>
      <c r="F88" t="s">
        <v>7</v>
      </c>
      <c r="G88" t="s">
        <v>6</v>
      </c>
      <c r="H88" t="s">
        <v>7</v>
      </c>
      <c r="I88" t="s">
        <v>0</v>
      </c>
      <c r="J88" t="s">
        <v>4</v>
      </c>
      <c r="K88" t="s">
        <v>5</v>
      </c>
      <c r="L88" t="s">
        <v>6</v>
      </c>
      <c r="M88" t="s">
        <v>7</v>
      </c>
      <c r="N88" t="s">
        <v>8</v>
      </c>
      <c r="O88" t="s">
        <v>6</v>
      </c>
      <c r="P88" t="s">
        <v>7</v>
      </c>
      <c r="Q88" t="s">
        <v>9</v>
      </c>
      <c r="R88" t="s">
        <v>6</v>
      </c>
      <c r="S88" t="s">
        <v>7</v>
      </c>
      <c r="T88" t="s">
        <v>8</v>
      </c>
      <c r="U88" t="s">
        <v>0</v>
      </c>
      <c r="V88" t="s">
        <v>10</v>
      </c>
      <c r="W88" t="s">
        <v>5</v>
      </c>
      <c r="X88" t="s">
        <v>6</v>
      </c>
      <c r="Y88" t="s">
        <v>7</v>
      </c>
      <c r="Z88" t="s">
        <v>8</v>
      </c>
      <c r="AA88" t="s">
        <v>6</v>
      </c>
      <c r="AB88" t="s">
        <v>7</v>
      </c>
      <c r="AC88" t="s">
        <v>8</v>
      </c>
      <c r="AD88" t="s">
        <v>6</v>
      </c>
      <c r="AE88" t="s">
        <v>7</v>
      </c>
      <c r="AF88" t="s">
        <v>8</v>
      </c>
    </row>
    <row r="89" spans="1:32" x14ac:dyDescent="0.2">
      <c r="A89">
        <v>1</v>
      </c>
      <c r="B89">
        <v>7</v>
      </c>
      <c r="C89">
        <v>1</v>
      </c>
      <c r="D89">
        <v>0.99</v>
      </c>
      <c r="E89">
        <v>1</v>
      </c>
      <c r="F89">
        <v>0.99</v>
      </c>
      <c r="G89">
        <v>1</v>
      </c>
      <c r="H89">
        <v>1</v>
      </c>
      <c r="J89">
        <v>1</v>
      </c>
      <c r="K89">
        <v>4</v>
      </c>
      <c r="L89">
        <v>0.872</v>
      </c>
      <c r="M89">
        <v>0.7</v>
      </c>
      <c r="N89">
        <v>0.57099999999999995</v>
      </c>
      <c r="O89">
        <v>0.872</v>
      </c>
      <c r="P89">
        <v>0.7</v>
      </c>
      <c r="Q89">
        <v>0.57099999999999995</v>
      </c>
      <c r="R89">
        <v>0.60899999999999999</v>
      </c>
      <c r="S89">
        <v>0.56000000000000005</v>
      </c>
      <c r="T89">
        <v>0.111</v>
      </c>
      <c r="V89">
        <v>1</v>
      </c>
      <c r="W89">
        <v>4</v>
      </c>
      <c r="X89">
        <v>0.872</v>
      </c>
      <c r="Y89">
        <v>0.7</v>
      </c>
      <c r="Z89">
        <v>0.57099999999999995</v>
      </c>
      <c r="AA89">
        <v>0.872</v>
      </c>
      <c r="AB89">
        <v>0.7</v>
      </c>
      <c r="AC89">
        <v>0.57099999999999995</v>
      </c>
      <c r="AD89">
        <v>0.60899999999999999</v>
      </c>
      <c r="AE89">
        <v>0.56000000000000005</v>
      </c>
      <c r="AF89">
        <v>0.111</v>
      </c>
    </row>
    <row r="90" spans="1:32" x14ac:dyDescent="0.2">
      <c r="A90">
        <v>2</v>
      </c>
      <c r="B90">
        <v>6</v>
      </c>
      <c r="C90">
        <v>0.999</v>
      </c>
      <c r="D90">
        <v>0.98</v>
      </c>
      <c r="E90">
        <v>0.999</v>
      </c>
      <c r="F90">
        <v>0.98</v>
      </c>
      <c r="G90">
        <v>0.99</v>
      </c>
      <c r="H90">
        <v>0.99</v>
      </c>
      <c r="J90">
        <v>2</v>
      </c>
      <c r="K90">
        <v>7</v>
      </c>
      <c r="L90">
        <v>1</v>
      </c>
      <c r="M90">
        <v>0.99</v>
      </c>
      <c r="N90">
        <v>1</v>
      </c>
      <c r="O90">
        <v>1</v>
      </c>
      <c r="P90">
        <v>0.99</v>
      </c>
      <c r="Q90">
        <v>1</v>
      </c>
      <c r="R90">
        <v>1</v>
      </c>
      <c r="S90">
        <v>1</v>
      </c>
      <c r="T90">
        <v>1</v>
      </c>
      <c r="V90">
        <v>2</v>
      </c>
      <c r="W90">
        <v>7</v>
      </c>
      <c r="X90">
        <v>1</v>
      </c>
      <c r="Y90">
        <v>0.99</v>
      </c>
      <c r="Z90">
        <v>1</v>
      </c>
      <c r="AA90">
        <v>1</v>
      </c>
      <c r="AB90">
        <v>0.99</v>
      </c>
      <c r="AC90">
        <v>1</v>
      </c>
      <c r="AD90">
        <v>1</v>
      </c>
      <c r="AE90">
        <v>1</v>
      </c>
      <c r="AF90">
        <v>1</v>
      </c>
    </row>
    <row r="91" spans="1:32" x14ac:dyDescent="0.2">
      <c r="J91">
        <v>3</v>
      </c>
      <c r="K91">
        <v>6</v>
      </c>
      <c r="L91">
        <v>0.999</v>
      </c>
      <c r="M91">
        <v>0.98</v>
      </c>
      <c r="N91">
        <v>1</v>
      </c>
      <c r="O91">
        <v>0.999</v>
      </c>
      <c r="P91">
        <v>0.98</v>
      </c>
      <c r="Q91">
        <v>1</v>
      </c>
      <c r="R91">
        <v>0.99</v>
      </c>
      <c r="S91">
        <v>0.99</v>
      </c>
      <c r="T91">
        <v>1</v>
      </c>
      <c r="V91">
        <v>3</v>
      </c>
      <c r="W91">
        <v>6</v>
      </c>
      <c r="X91">
        <v>0.999</v>
      </c>
      <c r="Y91">
        <v>0.98</v>
      </c>
      <c r="Z91">
        <v>1</v>
      </c>
      <c r="AA91">
        <v>0.999</v>
      </c>
      <c r="AB91">
        <v>0.98</v>
      </c>
      <c r="AC91">
        <v>1</v>
      </c>
      <c r="AD91">
        <v>0.99</v>
      </c>
      <c r="AE91">
        <v>0.99</v>
      </c>
      <c r="AF91">
        <v>1</v>
      </c>
    </row>
    <row r="96" spans="1:32" x14ac:dyDescent="0.2">
      <c r="A96">
        <f>COUNT(A98:A102)</f>
        <v>4</v>
      </c>
      <c r="B96">
        <f>COUNTIF(B98:B102,"&gt;4")</f>
        <v>2</v>
      </c>
      <c r="C96" t="s">
        <v>1</v>
      </c>
      <c r="D96" t="s">
        <v>0</v>
      </c>
      <c r="E96" t="s">
        <v>2</v>
      </c>
      <c r="F96" t="s">
        <v>0</v>
      </c>
      <c r="G96" t="s">
        <v>3</v>
      </c>
      <c r="H96" t="s">
        <v>0</v>
      </c>
      <c r="I96" t="s">
        <v>0</v>
      </c>
      <c r="J96">
        <f>COUNT(J98:J102)</f>
        <v>3</v>
      </c>
      <c r="K96">
        <f>COUNTIF(K98:K102,"&gt;4")</f>
        <v>0</v>
      </c>
      <c r="M96">
        <f>COUNTIF(M98:M102,1)</f>
        <v>0</v>
      </c>
      <c r="N96">
        <f>COUNTIF(N98:N102,1)</f>
        <v>2</v>
      </c>
      <c r="O96">
        <f>COUNTIF(O98:O102,"&gt;0")</f>
        <v>3</v>
      </c>
      <c r="P96">
        <f>COUNTIF(P98:P102,1)</f>
        <v>0</v>
      </c>
      <c r="Q96">
        <f>COUNTIF(Q98:Q102,1)</f>
        <v>2</v>
      </c>
      <c r="S96">
        <f>COUNTIF(S98:S102,1)</f>
        <v>0</v>
      </c>
      <c r="T96">
        <f>COUNTIFS(T98:T102,1,K98:K102,"&gt;4")</f>
        <v>0</v>
      </c>
      <c r="U96" t="s">
        <v>0</v>
      </c>
      <c r="V96">
        <f>COUNT(V98:V102)</f>
        <v>3</v>
      </c>
      <c r="W96">
        <f>COUNTIF(W98:W102,"&gt;4")</f>
        <v>0</v>
      </c>
      <c r="Y96">
        <f>COUNTIF(Y98:Y102,1)</f>
        <v>0</v>
      </c>
      <c r="Z96">
        <f>COUNTIF(Z98:Z102,1)</f>
        <v>2</v>
      </c>
      <c r="AA96">
        <f>COUNTIF(AA98:AA102,"&gt;0")</f>
        <v>3</v>
      </c>
      <c r="AB96">
        <f>COUNTIF(AB98:AB102,1)</f>
        <v>0</v>
      </c>
      <c r="AC96">
        <f>COUNTIF(AC98:AC102,1)</f>
        <v>2</v>
      </c>
      <c r="AE96">
        <f>COUNTIF(AE98:AE102,1)</f>
        <v>0</v>
      </c>
      <c r="AF96">
        <f>COUNTIFS(AF98:AF102,1,W98:W102,"&gt;4")</f>
        <v>0</v>
      </c>
    </row>
    <row r="97" spans="1:32" x14ac:dyDescent="0.2">
      <c r="A97" t="s">
        <v>4</v>
      </c>
      <c r="B97" t="s">
        <v>5</v>
      </c>
      <c r="C97" t="s">
        <v>6</v>
      </c>
      <c r="D97" t="s">
        <v>7</v>
      </c>
      <c r="E97" t="s">
        <v>6</v>
      </c>
      <c r="F97" t="s">
        <v>7</v>
      </c>
      <c r="G97" t="s">
        <v>6</v>
      </c>
      <c r="H97" t="s">
        <v>7</v>
      </c>
      <c r="I97" t="s">
        <v>0</v>
      </c>
      <c r="J97" t="s">
        <v>4</v>
      </c>
      <c r="K97" t="s">
        <v>5</v>
      </c>
      <c r="L97" t="s">
        <v>6</v>
      </c>
      <c r="M97" t="s">
        <v>7</v>
      </c>
      <c r="N97" t="s">
        <v>8</v>
      </c>
      <c r="O97" t="s">
        <v>6</v>
      </c>
      <c r="P97" t="s">
        <v>7</v>
      </c>
      <c r="Q97" t="s">
        <v>9</v>
      </c>
      <c r="R97" t="s">
        <v>6</v>
      </c>
      <c r="S97" t="s">
        <v>7</v>
      </c>
      <c r="T97" t="s">
        <v>8</v>
      </c>
      <c r="U97" t="s">
        <v>0</v>
      </c>
      <c r="V97" t="s">
        <v>10</v>
      </c>
      <c r="W97" t="s">
        <v>5</v>
      </c>
      <c r="X97" t="s">
        <v>6</v>
      </c>
      <c r="Y97" t="s">
        <v>7</v>
      </c>
      <c r="Z97" t="s">
        <v>8</v>
      </c>
      <c r="AA97" t="s">
        <v>6</v>
      </c>
      <c r="AB97" t="s">
        <v>7</v>
      </c>
      <c r="AC97" t="s">
        <v>8</v>
      </c>
      <c r="AD97" t="s">
        <v>6</v>
      </c>
      <c r="AE97" t="s">
        <v>7</v>
      </c>
      <c r="AF97" t="s">
        <v>8</v>
      </c>
    </row>
    <row r="98" spans="1:32" x14ac:dyDescent="0.2">
      <c r="A98">
        <v>1</v>
      </c>
      <c r="B98">
        <v>5</v>
      </c>
      <c r="C98">
        <v>0.95799999999999996</v>
      </c>
      <c r="D98">
        <v>0.11</v>
      </c>
      <c r="E98">
        <v>0.95799999999999996</v>
      </c>
      <c r="F98">
        <v>0.11</v>
      </c>
      <c r="G98">
        <v>0.153</v>
      </c>
      <c r="H98">
        <v>0.15</v>
      </c>
      <c r="J98">
        <v>1</v>
      </c>
      <c r="K98">
        <v>4</v>
      </c>
      <c r="L98">
        <v>0.99099999999999999</v>
      </c>
      <c r="M98">
        <v>0.85</v>
      </c>
      <c r="N98">
        <v>0.95199999999999996</v>
      </c>
      <c r="O98">
        <v>0.99099999999999999</v>
      </c>
      <c r="P98">
        <v>0.85</v>
      </c>
      <c r="Q98">
        <v>0.95199999999999996</v>
      </c>
      <c r="R98">
        <v>0.91500000000000004</v>
      </c>
      <c r="S98">
        <v>0.78</v>
      </c>
      <c r="T98">
        <v>0.17399999999999999</v>
      </c>
      <c r="V98">
        <v>1</v>
      </c>
      <c r="W98">
        <v>4</v>
      </c>
      <c r="X98">
        <v>0.99099999999999999</v>
      </c>
      <c r="Y98">
        <v>0.85</v>
      </c>
      <c r="Z98">
        <v>0.95199999999999996</v>
      </c>
      <c r="AA98">
        <v>0.99099999999999999</v>
      </c>
      <c r="AB98">
        <v>0.85</v>
      </c>
      <c r="AC98">
        <v>0.95199999999999996</v>
      </c>
      <c r="AD98">
        <v>0.91500000000000004</v>
      </c>
      <c r="AE98">
        <v>0.78</v>
      </c>
      <c r="AF98">
        <v>0.17399999999999999</v>
      </c>
    </row>
    <row r="99" spans="1:32" x14ac:dyDescent="0.2">
      <c r="A99">
        <v>2</v>
      </c>
      <c r="B99">
        <v>4</v>
      </c>
      <c r="C99">
        <v>0.90100000000000002</v>
      </c>
      <c r="D99">
        <v>0.71</v>
      </c>
      <c r="E99">
        <v>0.90100000000000002</v>
      </c>
      <c r="F99">
        <v>0.71</v>
      </c>
      <c r="G99">
        <v>0.52500000000000002</v>
      </c>
      <c r="H99">
        <v>0.48</v>
      </c>
      <c r="J99">
        <v>2</v>
      </c>
      <c r="K99">
        <v>4</v>
      </c>
      <c r="L99">
        <v>0.90100000000000002</v>
      </c>
      <c r="M99">
        <v>0.71</v>
      </c>
      <c r="N99">
        <v>1</v>
      </c>
      <c r="O99">
        <v>0.90100000000000002</v>
      </c>
      <c r="P99">
        <v>0.71</v>
      </c>
      <c r="Q99">
        <v>1</v>
      </c>
      <c r="R99">
        <v>0.52500000000000002</v>
      </c>
      <c r="S99">
        <v>0.48</v>
      </c>
      <c r="T99">
        <v>1</v>
      </c>
      <c r="V99">
        <v>2</v>
      </c>
      <c r="W99">
        <v>4</v>
      </c>
      <c r="X99">
        <v>0.90100000000000002</v>
      </c>
      <c r="Y99">
        <v>0.71</v>
      </c>
      <c r="Z99">
        <v>1</v>
      </c>
      <c r="AA99">
        <v>0.90100000000000002</v>
      </c>
      <c r="AB99">
        <v>0.71</v>
      </c>
      <c r="AC99">
        <v>1</v>
      </c>
      <c r="AD99">
        <v>0.52500000000000002</v>
      </c>
      <c r="AE99">
        <v>0.48</v>
      </c>
      <c r="AF99">
        <v>1</v>
      </c>
    </row>
    <row r="100" spans="1:32" x14ac:dyDescent="0.2">
      <c r="A100">
        <v>3</v>
      </c>
      <c r="B100">
        <v>4</v>
      </c>
      <c r="C100">
        <v>0.99199999999999999</v>
      </c>
      <c r="D100">
        <v>0.95</v>
      </c>
      <c r="E100">
        <v>0.99199999999999999</v>
      </c>
      <c r="F100">
        <v>0.95</v>
      </c>
      <c r="G100">
        <v>0.95599999999999996</v>
      </c>
      <c r="H100">
        <v>0.95</v>
      </c>
      <c r="J100">
        <v>3</v>
      </c>
      <c r="K100">
        <v>4</v>
      </c>
      <c r="L100">
        <v>0.99199999999999999</v>
      </c>
      <c r="M100">
        <v>0.95</v>
      </c>
      <c r="N100">
        <v>1</v>
      </c>
      <c r="O100">
        <v>0.99199999999999999</v>
      </c>
      <c r="P100">
        <v>0.95</v>
      </c>
      <c r="Q100">
        <v>1</v>
      </c>
      <c r="R100">
        <v>0.95599999999999996</v>
      </c>
      <c r="S100">
        <v>0.95</v>
      </c>
      <c r="T100">
        <v>1</v>
      </c>
      <c r="V100">
        <v>3</v>
      </c>
      <c r="W100">
        <v>4</v>
      </c>
      <c r="X100">
        <v>0.99199999999999999</v>
      </c>
      <c r="Y100">
        <v>0.95</v>
      </c>
      <c r="Z100">
        <v>1</v>
      </c>
      <c r="AA100">
        <v>0.99199999999999999</v>
      </c>
      <c r="AB100">
        <v>0.95</v>
      </c>
      <c r="AC100">
        <v>1</v>
      </c>
      <c r="AD100">
        <v>0.95599999999999996</v>
      </c>
      <c r="AE100">
        <v>0.95</v>
      </c>
      <c r="AF100">
        <v>1</v>
      </c>
    </row>
    <row r="101" spans="1:32" x14ac:dyDescent="0.2">
      <c r="A101">
        <v>4</v>
      </c>
      <c r="B101">
        <v>5</v>
      </c>
      <c r="C101">
        <v>0.79200000000000004</v>
      </c>
      <c r="D101">
        <v>0.04</v>
      </c>
      <c r="E101">
        <v>0.79</v>
      </c>
      <c r="F101">
        <v>0.04</v>
      </c>
      <c r="G101">
        <v>0.6</v>
      </c>
      <c r="H101">
        <v>0.55000000000000004</v>
      </c>
    </row>
    <row r="106" spans="1:32" x14ac:dyDescent="0.2">
      <c r="A106">
        <f>COUNT(A108:A112)</f>
        <v>4</v>
      </c>
      <c r="B106">
        <f>COUNTIF(B108:B112,"&gt;4")</f>
        <v>2</v>
      </c>
      <c r="C106" t="s">
        <v>1</v>
      </c>
      <c r="D106" t="s">
        <v>0</v>
      </c>
      <c r="E106" t="s">
        <v>2</v>
      </c>
      <c r="F106" t="s">
        <v>0</v>
      </c>
      <c r="G106" t="s">
        <v>3</v>
      </c>
      <c r="H106" t="s">
        <v>0</v>
      </c>
      <c r="I106" t="s">
        <v>0</v>
      </c>
      <c r="J106">
        <f>COUNT(J108:J112)</f>
        <v>2</v>
      </c>
      <c r="K106">
        <f>COUNTIF(K108:K112,"&gt;4")</f>
        <v>0</v>
      </c>
      <c r="M106">
        <f>COUNTIF(M108:M112,1)</f>
        <v>0</v>
      </c>
      <c r="N106">
        <f>COUNTIF(N108:N112,1)</f>
        <v>0</v>
      </c>
      <c r="O106">
        <f>COUNTIF(O108:O112,"&gt;0")</f>
        <v>2</v>
      </c>
      <c r="P106">
        <f>COUNTIF(P108:P112,1)</f>
        <v>0</v>
      </c>
      <c r="Q106">
        <f>COUNTIF(Q108:Q112,1)</f>
        <v>0</v>
      </c>
      <c r="S106">
        <f>COUNTIF(S108:S112,1)</f>
        <v>0</v>
      </c>
      <c r="T106">
        <f>COUNTIFS(T108:T112,1,K108:K112,"&gt;4")</f>
        <v>0</v>
      </c>
      <c r="U106" t="s">
        <v>0</v>
      </c>
      <c r="V106">
        <f>COUNT(V108:V112)</f>
        <v>2</v>
      </c>
      <c r="W106">
        <f>COUNTIF(W108:W112,"&gt;4")</f>
        <v>0</v>
      </c>
      <c r="Y106">
        <f>COUNTIF(Y108:Y112,1)</f>
        <v>0</v>
      </c>
      <c r="Z106">
        <f>COUNTIF(Z108:Z112,1)</f>
        <v>0</v>
      </c>
      <c r="AA106">
        <f>COUNTIF(AA108:AA112,"&gt;0")</f>
        <v>2</v>
      </c>
      <c r="AB106">
        <f>COUNTIF(AB108:AB112,1)</f>
        <v>0</v>
      </c>
      <c r="AC106">
        <f>COUNTIF(AC108:AC112,1)</f>
        <v>0</v>
      </c>
      <c r="AE106">
        <f>COUNTIF(AE108:AE112,1)</f>
        <v>0</v>
      </c>
      <c r="AF106">
        <f>COUNTIFS(AF108:AF112,1,W108:W112,"&gt;4")</f>
        <v>0</v>
      </c>
    </row>
    <row r="107" spans="1:32" x14ac:dyDescent="0.2">
      <c r="A107" t="s">
        <v>4</v>
      </c>
      <c r="B107" t="s">
        <v>5</v>
      </c>
      <c r="C107" t="s">
        <v>6</v>
      </c>
      <c r="D107" t="s">
        <v>7</v>
      </c>
      <c r="E107" t="s">
        <v>6</v>
      </c>
      <c r="F107" t="s">
        <v>7</v>
      </c>
      <c r="G107" t="s">
        <v>6</v>
      </c>
      <c r="H107" t="s">
        <v>7</v>
      </c>
      <c r="I107" t="s">
        <v>0</v>
      </c>
      <c r="J107" t="s">
        <v>4</v>
      </c>
      <c r="K107" t="s">
        <v>5</v>
      </c>
      <c r="L107" t="s">
        <v>6</v>
      </c>
      <c r="M107" t="s">
        <v>7</v>
      </c>
      <c r="N107" t="s">
        <v>8</v>
      </c>
      <c r="O107" t="s">
        <v>6</v>
      </c>
      <c r="P107" t="s">
        <v>7</v>
      </c>
      <c r="Q107" t="s">
        <v>9</v>
      </c>
      <c r="R107" t="s">
        <v>6</v>
      </c>
      <c r="S107" t="s">
        <v>7</v>
      </c>
      <c r="T107" t="s">
        <v>8</v>
      </c>
      <c r="U107" t="s">
        <v>0</v>
      </c>
      <c r="V107" t="s">
        <v>10</v>
      </c>
      <c r="W107" t="s">
        <v>5</v>
      </c>
      <c r="X107" t="s">
        <v>6</v>
      </c>
      <c r="Y107" t="s">
        <v>7</v>
      </c>
      <c r="Z107" t="s">
        <v>8</v>
      </c>
      <c r="AA107" t="s">
        <v>6</v>
      </c>
      <c r="AB107" t="s">
        <v>7</v>
      </c>
      <c r="AC107" t="s">
        <v>8</v>
      </c>
      <c r="AD107" t="s">
        <v>6</v>
      </c>
      <c r="AE107" t="s">
        <v>7</v>
      </c>
      <c r="AF107" t="s">
        <v>8</v>
      </c>
    </row>
    <row r="108" spans="1:32" x14ac:dyDescent="0.2">
      <c r="A108">
        <v>1</v>
      </c>
      <c r="B108">
        <v>5</v>
      </c>
      <c r="C108">
        <v>0.96099999999999997</v>
      </c>
      <c r="D108">
        <v>0.18</v>
      </c>
      <c r="E108">
        <v>0.95</v>
      </c>
      <c r="F108">
        <v>0.02</v>
      </c>
      <c r="G108">
        <v>0.24299999999999999</v>
      </c>
      <c r="H108">
        <v>0.09</v>
      </c>
      <c r="J108">
        <v>1</v>
      </c>
      <c r="K108">
        <v>4</v>
      </c>
      <c r="L108">
        <v>0.97899999999999998</v>
      </c>
      <c r="M108">
        <v>0.69</v>
      </c>
      <c r="N108">
        <v>0.95199999999999996</v>
      </c>
      <c r="O108">
        <v>0.97899999999999998</v>
      </c>
      <c r="P108">
        <v>0.69</v>
      </c>
      <c r="Q108">
        <v>0.95199999999999996</v>
      </c>
      <c r="R108">
        <v>0.71899999999999997</v>
      </c>
      <c r="S108">
        <v>0.69</v>
      </c>
      <c r="T108">
        <v>0</v>
      </c>
      <c r="V108">
        <v>1</v>
      </c>
      <c r="W108">
        <v>4</v>
      </c>
      <c r="X108">
        <v>0.97899999999999998</v>
      </c>
      <c r="Y108">
        <v>0.69</v>
      </c>
      <c r="Z108">
        <v>0.95199999999999996</v>
      </c>
      <c r="AA108">
        <v>0.97899999999999998</v>
      </c>
      <c r="AB108">
        <v>0.69</v>
      </c>
      <c r="AC108">
        <v>0.95199999999999996</v>
      </c>
      <c r="AD108">
        <v>0.71899999999999997</v>
      </c>
      <c r="AE108">
        <v>0.69</v>
      </c>
      <c r="AF108">
        <v>0</v>
      </c>
    </row>
    <row r="109" spans="1:32" x14ac:dyDescent="0.2">
      <c r="A109">
        <v>2</v>
      </c>
      <c r="B109">
        <v>4</v>
      </c>
      <c r="C109">
        <v>0.54900000000000004</v>
      </c>
      <c r="D109">
        <v>0.23</v>
      </c>
      <c r="E109">
        <v>0.54900000000000004</v>
      </c>
      <c r="F109">
        <v>0.23</v>
      </c>
      <c r="G109">
        <v>2.5000000000000001E-2</v>
      </c>
      <c r="H109">
        <v>0</v>
      </c>
      <c r="J109">
        <v>2</v>
      </c>
      <c r="K109">
        <v>4</v>
      </c>
      <c r="L109">
        <v>0.71099999999999997</v>
      </c>
      <c r="M109">
        <v>0.36</v>
      </c>
      <c r="N109">
        <v>0.76200000000000001</v>
      </c>
      <c r="O109">
        <v>0.71099999999999997</v>
      </c>
      <c r="P109">
        <v>0.36</v>
      </c>
      <c r="Q109">
        <v>0.76200000000000001</v>
      </c>
      <c r="R109">
        <v>0.64</v>
      </c>
      <c r="S109">
        <v>0.64</v>
      </c>
      <c r="T109">
        <v>1</v>
      </c>
      <c r="V109">
        <v>2</v>
      </c>
      <c r="W109">
        <v>4</v>
      </c>
      <c r="X109">
        <v>0.71099999999999997</v>
      </c>
      <c r="Y109">
        <v>0.36</v>
      </c>
      <c r="Z109">
        <v>0.76200000000000001</v>
      </c>
      <c r="AA109">
        <v>0.71099999999999997</v>
      </c>
      <c r="AB109">
        <v>0.36</v>
      </c>
      <c r="AC109">
        <v>0.76200000000000001</v>
      </c>
      <c r="AD109">
        <v>0.64</v>
      </c>
      <c r="AE109">
        <v>0.64</v>
      </c>
      <c r="AF109">
        <v>1</v>
      </c>
    </row>
    <row r="110" spans="1:32" x14ac:dyDescent="0.2">
      <c r="A110">
        <v>3</v>
      </c>
      <c r="B110">
        <v>5</v>
      </c>
      <c r="C110">
        <v>0.71099999999999997</v>
      </c>
      <c r="D110">
        <v>0.28000000000000003</v>
      </c>
      <c r="E110">
        <v>0.71099999999999997</v>
      </c>
      <c r="F110">
        <v>0.28000000000000003</v>
      </c>
      <c r="G110">
        <v>0.64</v>
      </c>
      <c r="H110">
        <v>0.64</v>
      </c>
    </row>
    <row r="111" spans="1:32" x14ac:dyDescent="0.2">
      <c r="A111">
        <v>4</v>
      </c>
      <c r="B111">
        <v>4</v>
      </c>
      <c r="C111">
        <v>0.68500000000000005</v>
      </c>
      <c r="D111">
        <v>0.16</v>
      </c>
      <c r="E111">
        <v>0.68500000000000005</v>
      </c>
      <c r="F111">
        <v>0.16</v>
      </c>
      <c r="G111">
        <v>8.5000000000000006E-2</v>
      </c>
      <c r="H111">
        <v>0.05</v>
      </c>
    </row>
    <row r="116" spans="1:32" x14ac:dyDescent="0.2">
      <c r="A116">
        <f>COUNT(A118:A122)</f>
        <v>2</v>
      </c>
      <c r="B116">
        <f>COUNTIF(B118:B122,"&gt;4")</f>
        <v>2</v>
      </c>
      <c r="C116" t="s">
        <v>1</v>
      </c>
      <c r="D116" t="s">
        <v>0</v>
      </c>
      <c r="E116" t="s">
        <v>2</v>
      </c>
      <c r="F116" t="s">
        <v>0</v>
      </c>
      <c r="G116" t="s">
        <v>3</v>
      </c>
      <c r="H116" t="s">
        <v>0</v>
      </c>
      <c r="I116" t="s">
        <v>0</v>
      </c>
      <c r="J116">
        <f>COUNT(J118:J122)</f>
        <v>3</v>
      </c>
      <c r="K116">
        <f>COUNTIF(K118:K122,"&gt;4")</f>
        <v>2</v>
      </c>
      <c r="M116">
        <f>COUNTIF(M118:M122,1)</f>
        <v>0</v>
      </c>
      <c r="N116">
        <f>COUNTIF(N118:N122,1)</f>
        <v>2</v>
      </c>
      <c r="O116">
        <f>COUNTIF(O118:O122,"&gt;0")</f>
        <v>3</v>
      </c>
      <c r="P116">
        <f>COUNTIF(P118:P122,1)</f>
        <v>0</v>
      </c>
      <c r="Q116">
        <f>COUNTIF(Q118:Q122,1)</f>
        <v>2</v>
      </c>
      <c r="S116">
        <f>COUNTIF(S118:S122,1)</f>
        <v>2</v>
      </c>
      <c r="T116">
        <f>COUNTIFS(T118:T122,1,K118:K122,"&gt;4")</f>
        <v>2</v>
      </c>
      <c r="U116" t="s">
        <v>0</v>
      </c>
      <c r="V116">
        <f>COUNT(V118:V122)</f>
        <v>2</v>
      </c>
      <c r="W116">
        <f>COUNTIF(W118:W122,"&gt;4")</f>
        <v>2</v>
      </c>
      <c r="Y116">
        <f>COUNTIF(Y118:Y122,1)</f>
        <v>0</v>
      </c>
      <c r="Z116">
        <f>COUNTIF(Z118:Z122,1)</f>
        <v>2</v>
      </c>
      <c r="AA116">
        <f>COUNTIF(AA118:AA122,"&gt;0")</f>
        <v>2</v>
      </c>
      <c r="AB116">
        <f>COUNTIF(AB118:AB122,1)</f>
        <v>0</v>
      </c>
      <c r="AC116">
        <f>COUNTIF(AC118:AC122,1)</f>
        <v>2</v>
      </c>
      <c r="AE116">
        <f>COUNTIF(AE118:AE122,1)</f>
        <v>2</v>
      </c>
      <c r="AF116">
        <f>COUNTIFS(AF118:AF122,1,W118:W122,"&gt;4")</f>
        <v>2</v>
      </c>
    </row>
    <row r="117" spans="1:32" x14ac:dyDescent="0.2">
      <c r="A117" t="s">
        <v>4</v>
      </c>
      <c r="B117" t="s">
        <v>5</v>
      </c>
      <c r="C117" t="s">
        <v>6</v>
      </c>
      <c r="D117" t="s">
        <v>7</v>
      </c>
      <c r="E117" t="s">
        <v>6</v>
      </c>
      <c r="F117" t="s">
        <v>7</v>
      </c>
      <c r="G117" t="s">
        <v>6</v>
      </c>
      <c r="H117" t="s">
        <v>7</v>
      </c>
      <c r="I117" t="s">
        <v>0</v>
      </c>
      <c r="J117" t="s">
        <v>4</v>
      </c>
      <c r="K117" t="s">
        <v>5</v>
      </c>
      <c r="L117" t="s">
        <v>6</v>
      </c>
      <c r="M117" t="s">
        <v>7</v>
      </c>
      <c r="N117" t="s">
        <v>8</v>
      </c>
      <c r="O117" t="s">
        <v>6</v>
      </c>
      <c r="P117" t="s">
        <v>7</v>
      </c>
      <c r="Q117" t="s">
        <v>9</v>
      </c>
      <c r="R117" t="s">
        <v>6</v>
      </c>
      <c r="S117" t="s">
        <v>7</v>
      </c>
      <c r="T117" t="s">
        <v>8</v>
      </c>
      <c r="U117" t="s">
        <v>0</v>
      </c>
      <c r="V117" t="s">
        <v>10</v>
      </c>
      <c r="W117" t="s">
        <v>5</v>
      </c>
      <c r="X117" t="s">
        <v>6</v>
      </c>
      <c r="Y117" t="s">
        <v>7</v>
      </c>
      <c r="Z117" t="s">
        <v>8</v>
      </c>
      <c r="AA117" t="s">
        <v>6</v>
      </c>
      <c r="AB117" t="s">
        <v>7</v>
      </c>
      <c r="AC117" t="s">
        <v>8</v>
      </c>
      <c r="AD117" t="s">
        <v>6</v>
      </c>
      <c r="AE117" t="s">
        <v>7</v>
      </c>
      <c r="AF117" t="s">
        <v>8</v>
      </c>
    </row>
    <row r="118" spans="1:32" x14ac:dyDescent="0.2">
      <c r="A118">
        <v>1</v>
      </c>
      <c r="B118">
        <v>7</v>
      </c>
      <c r="C118">
        <v>0.99099999999999999</v>
      </c>
      <c r="D118">
        <v>0.82</v>
      </c>
      <c r="E118">
        <v>0.99099999999999999</v>
      </c>
      <c r="F118">
        <v>0.82</v>
      </c>
      <c r="G118">
        <v>1</v>
      </c>
      <c r="H118">
        <v>1</v>
      </c>
      <c r="J118">
        <v>1</v>
      </c>
      <c r="K118">
        <v>7</v>
      </c>
      <c r="L118">
        <v>0.99099999999999999</v>
      </c>
      <c r="M118">
        <v>0.82</v>
      </c>
      <c r="N118">
        <v>1</v>
      </c>
      <c r="O118">
        <v>0.99099999999999999</v>
      </c>
      <c r="P118">
        <v>0.82</v>
      </c>
      <c r="Q118">
        <v>1</v>
      </c>
      <c r="R118">
        <v>1</v>
      </c>
      <c r="S118">
        <v>1</v>
      </c>
      <c r="T118">
        <v>1</v>
      </c>
      <c r="V118">
        <v>1</v>
      </c>
      <c r="W118">
        <v>7</v>
      </c>
      <c r="X118">
        <v>0.99099999999999999</v>
      </c>
      <c r="Y118">
        <v>0.82</v>
      </c>
      <c r="Z118">
        <v>1</v>
      </c>
      <c r="AA118">
        <v>0.99099999999999999</v>
      </c>
      <c r="AB118">
        <v>0.82</v>
      </c>
      <c r="AC118">
        <v>1</v>
      </c>
      <c r="AD118">
        <v>1</v>
      </c>
      <c r="AE118">
        <v>1</v>
      </c>
      <c r="AF118">
        <v>1</v>
      </c>
    </row>
    <row r="119" spans="1:32" x14ac:dyDescent="0.2">
      <c r="A119">
        <v>2</v>
      </c>
      <c r="B119">
        <v>6</v>
      </c>
      <c r="C119">
        <v>0.98099999999999998</v>
      </c>
      <c r="D119">
        <v>0.61</v>
      </c>
      <c r="E119">
        <v>0.98099999999999998</v>
      </c>
      <c r="F119">
        <v>0.61</v>
      </c>
      <c r="G119">
        <v>1</v>
      </c>
      <c r="H119">
        <v>1</v>
      </c>
      <c r="J119">
        <v>2</v>
      </c>
      <c r="K119">
        <v>4</v>
      </c>
      <c r="L119">
        <v>0.74399999999999999</v>
      </c>
      <c r="M119">
        <v>0.28999999999999998</v>
      </c>
      <c r="N119">
        <v>0.52400000000000002</v>
      </c>
      <c r="O119">
        <v>0.73199999999999998</v>
      </c>
      <c r="P119">
        <v>0.12</v>
      </c>
      <c r="Q119">
        <v>0.52400000000000002</v>
      </c>
      <c r="R119">
        <v>0.15</v>
      </c>
      <c r="S119">
        <v>0.13</v>
      </c>
      <c r="T119">
        <v>0</v>
      </c>
      <c r="V119">
        <v>2</v>
      </c>
      <c r="W119">
        <v>6</v>
      </c>
      <c r="X119">
        <v>0.98099999999999998</v>
      </c>
      <c r="Y119">
        <v>0.61</v>
      </c>
      <c r="Z119">
        <v>1</v>
      </c>
      <c r="AA119">
        <v>0.98099999999999998</v>
      </c>
      <c r="AB119">
        <v>0.61</v>
      </c>
      <c r="AC119">
        <v>1</v>
      </c>
      <c r="AD119">
        <v>1</v>
      </c>
      <c r="AE119">
        <v>1</v>
      </c>
      <c r="AF119">
        <v>1</v>
      </c>
    </row>
    <row r="120" spans="1:32" x14ac:dyDescent="0.2">
      <c r="J120">
        <v>3</v>
      </c>
      <c r="K120">
        <v>6</v>
      </c>
      <c r="L120">
        <v>0.98099999999999998</v>
      </c>
      <c r="M120">
        <v>0.61</v>
      </c>
      <c r="N120">
        <v>1</v>
      </c>
      <c r="O120">
        <v>0.98099999999999998</v>
      </c>
      <c r="P120">
        <v>0.61</v>
      </c>
      <c r="Q120">
        <v>1</v>
      </c>
      <c r="R120">
        <v>1</v>
      </c>
      <c r="S120">
        <v>1</v>
      </c>
      <c r="T120">
        <v>1</v>
      </c>
    </row>
    <row r="125" spans="1:32" x14ac:dyDescent="0.2">
      <c r="A125">
        <f>COUNT(A127:A131)</f>
        <v>4</v>
      </c>
      <c r="B125">
        <f>COUNTIF(B127:B131,"&gt;4")</f>
        <v>1</v>
      </c>
      <c r="C125" t="s">
        <v>1</v>
      </c>
      <c r="D125" t="s">
        <v>0</v>
      </c>
      <c r="E125" t="s">
        <v>2</v>
      </c>
      <c r="F125" t="s">
        <v>0</v>
      </c>
      <c r="G125" t="s">
        <v>3</v>
      </c>
      <c r="H125" t="s">
        <v>0</v>
      </c>
      <c r="I125" t="s">
        <v>0</v>
      </c>
      <c r="J125">
        <f>COUNT(J127:J131)</f>
        <v>2</v>
      </c>
      <c r="K125">
        <f>COUNTIF(K127:K131,"&gt;4")</f>
        <v>0</v>
      </c>
      <c r="M125">
        <f>COUNTIF(M127:M131,1)</f>
        <v>0</v>
      </c>
      <c r="N125">
        <f>COUNTIF(N127:N131,1)</f>
        <v>1</v>
      </c>
      <c r="O125">
        <f>COUNTIF(O127:O131,"&gt;0")</f>
        <v>2</v>
      </c>
      <c r="P125">
        <f>COUNTIF(P127:P131,1)</f>
        <v>0</v>
      </c>
      <c r="Q125">
        <f>COUNTIF(Q127:Q131,1)</f>
        <v>1</v>
      </c>
      <c r="S125">
        <f>COUNTIF(S127:S131,1)</f>
        <v>0</v>
      </c>
      <c r="T125">
        <f>COUNTIFS(T127:T131,1,K127:K131,"&gt;4")</f>
        <v>0</v>
      </c>
      <c r="U125" t="s">
        <v>0</v>
      </c>
      <c r="V125">
        <f>COUNT(V127:V131)</f>
        <v>3</v>
      </c>
      <c r="W125">
        <f>COUNTIF(W127:W131,"&gt;4")</f>
        <v>1</v>
      </c>
      <c r="Y125">
        <f>COUNTIF(Y127:Y131,1)</f>
        <v>0</v>
      </c>
      <c r="Z125">
        <f>COUNTIF(Z127:Z131,1)</f>
        <v>3</v>
      </c>
      <c r="AA125">
        <f>COUNTIF(AA127:AA131,"&gt;0")</f>
        <v>3</v>
      </c>
      <c r="AB125">
        <f>COUNTIF(AB127:AB131,1)</f>
        <v>0</v>
      </c>
      <c r="AC125">
        <f>COUNTIF(AC127:AC131,1)</f>
        <v>3</v>
      </c>
      <c r="AE125">
        <f>COUNTIF(AE127:AE131,1)</f>
        <v>0</v>
      </c>
      <c r="AF125">
        <f>COUNTIFS(AF127:AF131,1,W127:W131,"&gt;4")</f>
        <v>0</v>
      </c>
    </row>
    <row r="126" spans="1:32" x14ac:dyDescent="0.2">
      <c r="A126" t="s">
        <v>4</v>
      </c>
      <c r="B126" t="s">
        <v>5</v>
      </c>
      <c r="C126" t="s">
        <v>6</v>
      </c>
      <c r="D126" t="s">
        <v>7</v>
      </c>
      <c r="E126" t="s">
        <v>6</v>
      </c>
      <c r="F126" t="s">
        <v>7</v>
      </c>
      <c r="G126" t="s">
        <v>6</v>
      </c>
      <c r="H126" t="s">
        <v>7</v>
      </c>
      <c r="I126" t="s">
        <v>0</v>
      </c>
      <c r="J126" t="s">
        <v>4</v>
      </c>
      <c r="K126" t="s">
        <v>5</v>
      </c>
      <c r="L126" t="s">
        <v>6</v>
      </c>
      <c r="M126" t="s">
        <v>7</v>
      </c>
      <c r="N126" t="s">
        <v>8</v>
      </c>
      <c r="O126" t="s">
        <v>6</v>
      </c>
      <c r="P126" t="s">
        <v>7</v>
      </c>
      <c r="Q126" t="s">
        <v>9</v>
      </c>
      <c r="R126" t="s">
        <v>6</v>
      </c>
      <c r="S126" t="s">
        <v>7</v>
      </c>
      <c r="T126" t="s">
        <v>8</v>
      </c>
      <c r="U126" t="s">
        <v>0</v>
      </c>
      <c r="V126" t="s">
        <v>10</v>
      </c>
      <c r="W126" t="s">
        <v>5</v>
      </c>
      <c r="X126" t="s">
        <v>6</v>
      </c>
      <c r="Y126" t="s">
        <v>7</v>
      </c>
      <c r="Z126" t="s">
        <v>8</v>
      </c>
      <c r="AA126" t="s">
        <v>6</v>
      </c>
      <c r="AB126" t="s">
        <v>7</v>
      </c>
      <c r="AC126" t="s">
        <v>8</v>
      </c>
      <c r="AD126" t="s">
        <v>6</v>
      </c>
      <c r="AE126" t="s">
        <v>7</v>
      </c>
      <c r="AF126" t="s">
        <v>8</v>
      </c>
    </row>
    <row r="127" spans="1:32" x14ac:dyDescent="0.2">
      <c r="A127">
        <v>1</v>
      </c>
      <c r="B127">
        <v>4</v>
      </c>
      <c r="C127">
        <v>0.81200000000000006</v>
      </c>
      <c r="D127">
        <v>0.51</v>
      </c>
      <c r="E127">
        <v>0.81200000000000006</v>
      </c>
      <c r="F127">
        <v>0.51</v>
      </c>
      <c r="G127">
        <v>0.115</v>
      </c>
      <c r="H127">
        <v>0.11</v>
      </c>
      <c r="J127">
        <v>1</v>
      </c>
      <c r="K127">
        <v>4</v>
      </c>
      <c r="L127">
        <v>0.94199999999999995</v>
      </c>
      <c r="M127">
        <v>0.12</v>
      </c>
      <c r="N127">
        <v>0.95199999999999996</v>
      </c>
      <c r="O127">
        <v>0.94199999999999995</v>
      </c>
      <c r="P127">
        <v>0.12</v>
      </c>
      <c r="Q127">
        <v>0.95199999999999996</v>
      </c>
      <c r="R127">
        <v>0.193</v>
      </c>
      <c r="S127">
        <v>0.13</v>
      </c>
      <c r="T127">
        <v>0</v>
      </c>
      <c r="V127">
        <v>1</v>
      </c>
      <c r="W127">
        <v>4</v>
      </c>
      <c r="X127">
        <v>0.81200000000000006</v>
      </c>
      <c r="Y127">
        <v>0.51</v>
      </c>
      <c r="Z127">
        <v>1</v>
      </c>
      <c r="AA127">
        <v>0.81200000000000006</v>
      </c>
      <c r="AB127">
        <v>0.51</v>
      </c>
      <c r="AC127">
        <v>1</v>
      </c>
      <c r="AD127">
        <v>0.38500000000000001</v>
      </c>
      <c r="AE127">
        <v>0.24</v>
      </c>
      <c r="AF127">
        <v>0.222</v>
      </c>
    </row>
    <row r="128" spans="1:32" x14ac:dyDescent="0.2">
      <c r="A128">
        <v>2</v>
      </c>
      <c r="B128">
        <v>4</v>
      </c>
      <c r="C128">
        <v>0.69799999999999995</v>
      </c>
      <c r="D128">
        <v>0.1</v>
      </c>
      <c r="E128">
        <v>0.69799999999999995</v>
      </c>
      <c r="F128">
        <v>0.1</v>
      </c>
      <c r="G128">
        <v>6.4000000000000001E-2</v>
      </c>
      <c r="H128">
        <v>0</v>
      </c>
      <c r="J128">
        <v>2</v>
      </c>
      <c r="K128">
        <v>4</v>
      </c>
      <c r="L128">
        <v>0.98</v>
      </c>
      <c r="M128">
        <v>0.94</v>
      </c>
      <c r="N128">
        <v>1</v>
      </c>
      <c r="O128">
        <v>0.98</v>
      </c>
      <c r="P128">
        <v>0.94</v>
      </c>
      <c r="Q128">
        <v>1</v>
      </c>
      <c r="R128">
        <v>0.93</v>
      </c>
      <c r="S128">
        <v>0.93</v>
      </c>
      <c r="T128">
        <v>1</v>
      </c>
      <c r="V128">
        <v>2</v>
      </c>
      <c r="W128">
        <v>5</v>
      </c>
      <c r="X128">
        <v>0.97799999999999998</v>
      </c>
      <c r="Y128">
        <v>0.54</v>
      </c>
      <c r="Z128">
        <v>1</v>
      </c>
      <c r="AA128">
        <v>0.97799999999999998</v>
      </c>
      <c r="AB128">
        <v>0.54</v>
      </c>
      <c r="AC128">
        <v>1</v>
      </c>
      <c r="AD128">
        <v>0.47799999999999998</v>
      </c>
      <c r="AE128">
        <v>0.47</v>
      </c>
      <c r="AF128">
        <v>0</v>
      </c>
    </row>
    <row r="129" spans="1:32" x14ac:dyDescent="0.2">
      <c r="A129">
        <v>3</v>
      </c>
      <c r="B129">
        <v>5</v>
      </c>
      <c r="C129">
        <v>0.97799999999999998</v>
      </c>
      <c r="D129">
        <v>0.54</v>
      </c>
      <c r="E129">
        <v>0.97799999999999998</v>
      </c>
      <c r="F129">
        <v>0.54</v>
      </c>
      <c r="G129">
        <v>0.28000000000000003</v>
      </c>
      <c r="H129">
        <v>0.22</v>
      </c>
      <c r="V129">
        <v>3</v>
      </c>
      <c r="W129">
        <v>4</v>
      </c>
      <c r="X129">
        <v>0.98</v>
      </c>
      <c r="Y129">
        <v>0.94</v>
      </c>
      <c r="Z129">
        <v>1</v>
      </c>
      <c r="AA129">
        <v>0.98</v>
      </c>
      <c r="AB129">
        <v>0.94</v>
      </c>
      <c r="AC129">
        <v>1</v>
      </c>
      <c r="AD129">
        <v>0.93</v>
      </c>
      <c r="AE129">
        <v>0.93</v>
      </c>
      <c r="AF129">
        <v>1</v>
      </c>
    </row>
    <row r="130" spans="1:32" x14ac:dyDescent="0.2">
      <c r="A130">
        <v>4</v>
      </c>
      <c r="B130">
        <v>4</v>
      </c>
      <c r="C130">
        <v>0.98</v>
      </c>
      <c r="D130">
        <v>0.94</v>
      </c>
      <c r="E130">
        <v>0.98</v>
      </c>
      <c r="F130">
        <v>0.94</v>
      </c>
      <c r="G130">
        <v>0.93</v>
      </c>
      <c r="H130">
        <v>0.93</v>
      </c>
    </row>
    <row r="135" spans="1:32" x14ac:dyDescent="0.2">
      <c r="A135">
        <f>COUNT(A137:A141)</f>
        <v>4</v>
      </c>
      <c r="B135">
        <f>COUNTIF(B137:B141,"&gt;4")</f>
        <v>1</v>
      </c>
      <c r="C135" t="s">
        <v>1</v>
      </c>
      <c r="D135" t="s">
        <v>0</v>
      </c>
      <c r="E135" t="s">
        <v>2</v>
      </c>
      <c r="F135" t="s">
        <v>0</v>
      </c>
      <c r="G135" t="s">
        <v>3</v>
      </c>
      <c r="H135" t="s">
        <v>0</v>
      </c>
      <c r="I135" t="s">
        <v>0</v>
      </c>
      <c r="J135">
        <f>COUNT(J137:J141)</f>
        <v>3</v>
      </c>
      <c r="K135">
        <f>COUNTIF(K137:K141,"&gt;4")</f>
        <v>0</v>
      </c>
      <c r="M135">
        <f>COUNTIF(M137:M141,1)</f>
        <v>1</v>
      </c>
      <c r="N135">
        <f>COUNTIF(N137:N141,1)</f>
        <v>2</v>
      </c>
      <c r="O135">
        <f>COUNTIF(O137:O141,"&gt;0")</f>
        <v>3</v>
      </c>
      <c r="P135">
        <f>COUNTIF(P137:P141,1)</f>
        <v>1</v>
      </c>
      <c r="Q135">
        <f>COUNTIF(Q137:Q141,1)</f>
        <v>2</v>
      </c>
      <c r="S135">
        <f>COUNTIF(S137:S141,1)</f>
        <v>1</v>
      </c>
      <c r="T135">
        <f>COUNTIFS(T137:T141,1,K137:K141,"&gt;4")</f>
        <v>0</v>
      </c>
      <c r="U135" t="s">
        <v>0</v>
      </c>
      <c r="V135">
        <f>COUNT(V137:V141)</f>
        <v>3</v>
      </c>
      <c r="W135">
        <f>COUNTIF(W137:W141,"&gt;4")</f>
        <v>0</v>
      </c>
      <c r="Y135">
        <f>COUNTIF(Y137:Y141,1)</f>
        <v>1</v>
      </c>
      <c r="Z135">
        <f>COUNTIF(Z137:Z141,1)</f>
        <v>2</v>
      </c>
      <c r="AA135">
        <f>COUNTIF(AA137:AA141,"&gt;0")</f>
        <v>3</v>
      </c>
      <c r="AB135">
        <f>COUNTIF(AB137:AB141,1)</f>
        <v>1</v>
      </c>
      <c r="AC135">
        <f>COUNTIF(AC137:AC141,1)</f>
        <v>2</v>
      </c>
      <c r="AE135">
        <f>COUNTIF(AE137:AE141,1)</f>
        <v>1</v>
      </c>
      <c r="AF135">
        <f>COUNTIFS(AF137:AF141,1,W137:W141,"&gt;4")</f>
        <v>0</v>
      </c>
    </row>
    <row r="136" spans="1:32" x14ac:dyDescent="0.2">
      <c r="A136" t="s">
        <v>4</v>
      </c>
      <c r="B136" t="s">
        <v>5</v>
      </c>
      <c r="C136" t="s">
        <v>6</v>
      </c>
      <c r="D136" t="s">
        <v>7</v>
      </c>
      <c r="E136" t="s">
        <v>6</v>
      </c>
      <c r="F136" t="s">
        <v>7</v>
      </c>
      <c r="G136" t="s">
        <v>6</v>
      </c>
      <c r="H136" t="s">
        <v>7</v>
      </c>
      <c r="I136" t="s">
        <v>0</v>
      </c>
      <c r="J136" t="s">
        <v>4</v>
      </c>
      <c r="K136" t="s">
        <v>5</v>
      </c>
      <c r="L136" t="s">
        <v>6</v>
      </c>
      <c r="M136" t="s">
        <v>7</v>
      </c>
      <c r="N136" t="s">
        <v>8</v>
      </c>
      <c r="O136" t="s">
        <v>6</v>
      </c>
      <c r="P136" t="s">
        <v>7</v>
      </c>
      <c r="Q136" t="s">
        <v>9</v>
      </c>
      <c r="R136" t="s">
        <v>6</v>
      </c>
      <c r="S136" t="s">
        <v>7</v>
      </c>
      <c r="T136" t="s">
        <v>8</v>
      </c>
      <c r="U136" t="s">
        <v>0</v>
      </c>
      <c r="V136" t="s">
        <v>10</v>
      </c>
      <c r="W136" t="s">
        <v>5</v>
      </c>
      <c r="X136" t="s">
        <v>6</v>
      </c>
      <c r="Y136" t="s">
        <v>7</v>
      </c>
      <c r="Z136" t="s">
        <v>8</v>
      </c>
      <c r="AA136" t="s">
        <v>6</v>
      </c>
      <c r="AB136" t="s">
        <v>7</v>
      </c>
      <c r="AC136" t="s">
        <v>8</v>
      </c>
      <c r="AD136" t="s">
        <v>6</v>
      </c>
      <c r="AE136" t="s">
        <v>7</v>
      </c>
      <c r="AF136" t="s">
        <v>8</v>
      </c>
    </row>
    <row r="137" spans="1:32" x14ac:dyDescent="0.2">
      <c r="A137">
        <v>1</v>
      </c>
      <c r="B137">
        <v>7</v>
      </c>
      <c r="C137">
        <v>0.85299999999999998</v>
      </c>
      <c r="D137">
        <v>0</v>
      </c>
      <c r="E137">
        <v>0.85199999999999998</v>
      </c>
      <c r="F137">
        <v>0</v>
      </c>
      <c r="G137">
        <v>0.96399999999999997</v>
      </c>
      <c r="H137">
        <v>0.96</v>
      </c>
      <c r="J137">
        <v>1</v>
      </c>
      <c r="K137">
        <v>4</v>
      </c>
      <c r="L137">
        <v>0.99099999999999999</v>
      </c>
      <c r="M137">
        <v>0.9</v>
      </c>
      <c r="N137">
        <v>0.85699999999999998</v>
      </c>
      <c r="O137">
        <v>0.99099999999999999</v>
      </c>
      <c r="P137">
        <v>0.9</v>
      </c>
      <c r="Q137">
        <v>0.85699999999999998</v>
      </c>
      <c r="R137">
        <v>0.96399999999999997</v>
      </c>
      <c r="S137">
        <v>0.96</v>
      </c>
      <c r="T137">
        <v>1</v>
      </c>
      <c r="V137">
        <v>1</v>
      </c>
      <c r="W137">
        <v>4</v>
      </c>
      <c r="X137">
        <v>0.99099999999999999</v>
      </c>
      <c r="Y137">
        <v>0.9</v>
      </c>
      <c r="Z137">
        <v>0.85699999999999998</v>
      </c>
      <c r="AA137">
        <v>0.99099999999999999</v>
      </c>
      <c r="AB137">
        <v>0.9</v>
      </c>
      <c r="AC137">
        <v>0.85699999999999998</v>
      </c>
      <c r="AD137">
        <v>0.96399999999999997</v>
      </c>
      <c r="AE137">
        <v>0.96</v>
      </c>
      <c r="AF137">
        <v>1</v>
      </c>
    </row>
    <row r="138" spans="1:32" x14ac:dyDescent="0.2">
      <c r="A138">
        <v>2</v>
      </c>
      <c r="B138">
        <v>4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J138">
        <v>2</v>
      </c>
      <c r="K138">
        <v>4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V138">
        <v>2</v>
      </c>
      <c r="W138">
        <v>4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</row>
    <row r="139" spans="1:32" x14ac:dyDescent="0.2">
      <c r="A139">
        <v>3</v>
      </c>
      <c r="B139">
        <v>4</v>
      </c>
      <c r="C139">
        <v>0.996</v>
      </c>
      <c r="D139">
        <v>0.98</v>
      </c>
      <c r="E139">
        <v>0.996</v>
      </c>
      <c r="F139">
        <v>0.97</v>
      </c>
      <c r="G139">
        <v>8.0000000000000002E-3</v>
      </c>
      <c r="H139">
        <v>0</v>
      </c>
      <c r="J139">
        <v>3</v>
      </c>
      <c r="K139">
        <v>4</v>
      </c>
      <c r="L139">
        <v>0.996</v>
      </c>
      <c r="M139">
        <v>0.98</v>
      </c>
      <c r="N139">
        <v>1</v>
      </c>
      <c r="O139">
        <v>0.996</v>
      </c>
      <c r="P139">
        <v>0.97</v>
      </c>
      <c r="Q139">
        <v>1</v>
      </c>
      <c r="R139">
        <v>0.92100000000000004</v>
      </c>
      <c r="S139">
        <v>0.88</v>
      </c>
      <c r="T139">
        <v>0.111</v>
      </c>
      <c r="V139">
        <v>3</v>
      </c>
      <c r="W139">
        <v>4</v>
      </c>
      <c r="X139">
        <v>0.996</v>
      </c>
      <c r="Y139">
        <v>0.98</v>
      </c>
      <c r="Z139">
        <v>1</v>
      </c>
      <c r="AA139">
        <v>0.996</v>
      </c>
      <c r="AB139">
        <v>0.97</v>
      </c>
      <c r="AC139">
        <v>1</v>
      </c>
      <c r="AD139">
        <v>0.92100000000000004</v>
      </c>
      <c r="AE139">
        <v>0.88</v>
      </c>
      <c r="AF139">
        <v>0.111</v>
      </c>
    </row>
    <row r="140" spans="1:32" x14ac:dyDescent="0.2">
      <c r="A140">
        <v>4</v>
      </c>
      <c r="B140">
        <v>4</v>
      </c>
      <c r="C140">
        <v>0.749</v>
      </c>
      <c r="D140">
        <v>0.25</v>
      </c>
      <c r="E140">
        <v>0.749</v>
      </c>
      <c r="F140">
        <v>0.25</v>
      </c>
      <c r="G140">
        <v>0.121</v>
      </c>
      <c r="H140">
        <v>0</v>
      </c>
    </row>
    <row r="145" spans="1:32" x14ac:dyDescent="0.2">
      <c r="A145">
        <f>COUNT(A147:A151)</f>
        <v>2</v>
      </c>
      <c r="B145">
        <f>COUNTIF(B147:B151,"&gt;4")</f>
        <v>2</v>
      </c>
      <c r="C145" t="s">
        <v>1</v>
      </c>
      <c r="D145" t="s">
        <v>0</v>
      </c>
      <c r="E145" t="s">
        <v>2</v>
      </c>
      <c r="F145" t="s">
        <v>0</v>
      </c>
      <c r="G145" t="s">
        <v>3</v>
      </c>
      <c r="H145" t="s">
        <v>0</v>
      </c>
      <c r="I145" t="s">
        <v>0</v>
      </c>
      <c r="J145">
        <f>COUNT(J147:J151)</f>
        <v>2</v>
      </c>
      <c r="K145">
        <f>COUNTIF(K147:K151,"&gt;4")</f>
        <v>2</v>
      </c>
      <c r="M145">
        <f>COUNTIF(M147:M151,1)</f>
        <v>0</v>
      </c>
      <c r="N145">
        <f>COUNTIF(N147:N151,1)</f>
        <v>0</v>
      </c>
      <c r="O145">
        <f>COUNTIF(O147:O151,"&gt;0")</f>
        <v>2</v>
      </c>
      <c r="P145">
        <f>COUNTIF(P147:P151,1)</f>
        <v>0</v>
      </c>
      <c r="Q145">
        <f>COUNTIF(Q147:Q151,1)</f>
        <v>0</v>
      </c>
      <c r="S145">
        <f>COUNTIF(S147:S151,1)</f>
        <v>1</v>
      </c>
      <c r="T145">
        <f>COUNTIFS(T147:T151,1,K147:K151,"&gt;4")</f>
        <v>2</v>
      </c>
      <c r="U145" t="s">
        <v>0</v>
      </c>
      <c r="V145">
        <f>COUNT(V147:V151)</f>
        <v>3</v>
      </c>
      <c r="W145">
        <f>COUNTIF(W147:W151,"&gt;4")</f>
        <v>2</v>
      </c>
      <c r="Y145">
        <f>COUNTIF(Y147:Y151,1)</f>
        <v>0</v>
      </c>
      <c r="Z145">
        <f>COUNTIF(Z147:Z151,1)</f>
        <v>0</v>
      </c>
      <c r="AA145">
        <f>COUNTIF(AA147:AA151,"&gt;0")</f>
        <v>3</v>
      </c>
      <c r="AB145">
        <f>COUNTIF(AB147:AB151,1)</f>
        <v>0</v>
      </c>
      <c r="AC145">
        <f>COUNTIF(AC147:AC151,1)</f>
        <v>0</v>
      </c>
      <c r="AE145">
        <f>COUNTIF(AE147:AE151,1)</f>
        <v>1</v>
      </c>
      <c r="AF145">
        <f>COUNTIFS(AF147:AF151,1,W147:W151,"&gt;4")</f>
        <v>2</v>
      </c>
    </row>
    <row r="146" spans="1:32" x14ac:dyDescent="0.2">
      <c r="A146" t="s">
        <v>4</v>
      </c>
      <c r="B146" t="s">
        <v>5</v>
      </c>
      <c r="C146" t="s">
        <v>6</v>
      </c>
      <c r="D146" t="s">
        <v>7</v>
      </c>
      <c r="E146" t="s">
        <v>6</v>
      </c>
      <c r="F146" t="s">
        <v>7</v>
      </c>
      <c r="G146" t="s">
        <v>6</v>
      </c>
      <c r="H146" t="s">
        <v>7</v>
      </c>
      <c r="I146" t="s">
        <v>0</v>
      </c>
      <c r="J146" t="s">
        <v>4</v>
      </c>
      <c r="K146" t="s">
        <v>5</v>
      </c>
      <c r="L146" t="s">
        <v>6</v>
      </c>
      <c r="M146" t="s">
        <v>7</v>
      </c>
      <c r="N146" t="s">
        <v>8</v>
      </c>
      <c r="O146" t="s">
        <v>6</v>
      </c>
      <c r="P146" t="s">
        <v>7</v>
      </c>
      <c r="Q146" t="s">
        <v>9</v>
      </c>
      <c r="R146" t="s">
        <v>6</v>
      </c>
      <c r="S146" t="s">
        <v>7</v>
      </c>
      <c r="T146" t="s">
        <v>8</v>
      </c>
      <c r="U146" t="s">
        <v>0</v>
      </c>
      <c r="V146" t="s">
        <v>10</v>
      </c>
      <c r="W146" t="s">
        <v>5</v>
      </c>
      <c r="X146" t="s">
        <v>6</v>
      </c>
      <c r="Y146" t="s">
        <v>7</v>
      </c>
      <c r="Z146" t="s">
        <v>8</v>
      </c>
      <c r="AA146" t="s">
        <v>6</v>
      </c>
      <c r="AB146" t="s">
        <v>7</v>
      </c>
      <c r="AC146" t="s">
        <v>8</v>
      </c>
      <c r="AD146" t="s">
        <v>6</v>
      </c>
      <c r="AE146" t="s">
        <v>7</v>
      </c>
      <c r="AF146" t="s">
        <v>8</v>
      </c>
    </row>
    <row r="147" spans="1:32" x14ac:dyDescent="0.2">
      <c r="A147">
        <v>1</v>
      </c>
      <c r="B147">
        <v>7</v>
      </c>
      <c r="C147">
        <v>0.93</v>
      </c>
      <c r="D147">
        <v>0.19</v>
      </c>
      <c r="E147">
        <v>0.93</v>
      </c>
      <c r="F147">
        <v>0.19</v>
      </c>
      <c r="G147">
        <v>0.99</v>
      </c>
      <c r="H147">
        <v>0.99</v>
      </c>
      <c r="J147">
        <v>1</v>
      </c>
      <c r="K147">
        <v>5</v>
      </c>
      <c r="L147">
        <v>0.97499999999999998</v>
      </c>
      <c r="M147">
        <v>0.66</v>
      </c>
      <c r="N147">
        <v>0.90500000000000003</v>
      </c>
      <c r="O147">
        <v>0.97499999999999998</v>
      </c>
      <c r="P147">
        <v>0.66</v>
      </c>
      <c r="Q147">
        <v>0.90500000000000003</v>
      </c>
      <c r="R147">
        <v>0.99</v>
      </c>
      <c r="S147">
        <v>0.99</v>
      </c>
      <c r="T147">
        <v>1</v>
      </c>
      <c r="V147">
        <v>1</v>
      </c>
      <c r="W147">
        <v>5</v>
      </c>
      <c r="X147">
        <v>0.97499999999999998</v>
      </c>
      <c r="Y147">
        <v>0.66</v>
      </c>
      <c r="Z147">
        <v>0.90500000000000003</v>
      </c>
      <c r="AA147">
        <v>0.97499999999999998</v>
      </c>
      <c r="AB147">
        <v>0.66</v>
      </c>
      <c r="AC147">
        <v>0.90500000000000003</v>
      </c>
      <c r="AD147">
        <v>0.99</v>
      </c>
      <c r="AE147">
        <v>0.99</v>
      </c>
      <c r="AF147">
        <v>1</v>
      </c>
    </row>
    <row r="148" spans="1:32" x14ac:dyDescent="0.2">
      <c r="A148">
        <v>2</v>
      </c>
      <c r="B148">
        <v>6</v>
      </c>
      <c r="C148">
        <v>0.97</v>
      </c>
      <c r="D148">
        <v>0.37</v>
      </c>
      <c r="E148">
        <v>0.96899999999999997</v>
      </c>
      <c r="F148">
        <v>0.35</v>
      </c>
      <c r="G148">
        <v>1</v>
      </c>
      <c r="H148">
        <v>1</v>
      </c>
      <c r="J148">
        <v>2</v>
      </c>
      <c r="K148">
        <v>5</v>
      </c>
      <c r="L148">
        <v>0.98199999999999998</v>
      </c>
      <c r="M148">
        <v>0.63</v>
      </c>
      <c r="N148">
        <v>0.95199999999999996</v>
      </c>
      <c r="O148">
        <v>0.98199999999999998</v>
      </c>
      <c r="P148">
        <v>0.63</v>
      </c>
      <c r="Q148">
        <v>0.95199999999999996</v>
      </c>
      <c r="R148">
        <v>1</v>
      </c>
      <c r="S148">
        <v>1</v>
      </c>
      <c r="T148">
        <v>1</v>
      </c>
      <c r="V148">
        <v>2</v>
      </c>
      <c r="W148">
        <v>5</v>
      </c>
      <c r="X148">
        <v>0.98199999999999998</v>
      </c>
      <c r="Y148">
        <v>0.63</v>
      </c>
      <c r="Z148">
        <v>0.95199999999999996</v>
      </c>
      <c r="AA148">
        <v>0.98199999999999998</v>
      </c>
      <c r="AB148">
        <v>0.63</v>
      </c>
      <c r="AC148">
        <v>0.95199999999999996</v>
      </c>
      <c r="AD148">
        <v>1</v>
      </c>
      <c r="AE148">
        <v>1</v>
      </c>
      <c r="AF148">
        <v>1</v>
      </c>
    </row>
    <row r="149" spans="1:32" x14ac:dyDescent="0.2">
      <c r="V149">
        <v>3</v>
      </c>
      <c r="W149">
        <v>4</v>
      </c>
      <c r="X149">
        <v>0.85399999999999998</v>
      </c>
      <c r="Y149">
        <v>0.4</v>
      </c>
      <c r="Z149">
        <v>0.81</v>
      </c>
      <c r="AA149">
        <v>0.85299999999999998</v>
      </c>
      <c r="AB149">
        <v>0.38</v>
      </c>
      <c r="AC149">
        <v>0.81</v>
      </c>
      <c r="AD149">
        <v>0.37</v>
      </c>
      <c r="AE149">
        <v>0.37</v>
      </c>
      <c r="AF149">
        <v>0.111</v>
      </c>
    </row>
    <row r="154" spans="1:32" x14ac:dyDescent="0.2">
      <c r="A154">
        <f>COUNT(A156:A160)</f>
        <v>2</v>
      </c>
      <c r="B154">
        <f>COUNTIF(B156:B160,"&gt;4")</f>
        <v>2</v>
      </c>
      <c r="C154" t="s">
        <v>1</v>
      </c>
      <c r="D154" t="s">
        <v>0</v>
      </c>
      <c r="E154" t="s">
        <v>2</v>
      </c>
      <c r="F154" t="s">
        <v>0</v>
      </c>
      <c r="G154" t="s">
        <v>3</v>
      </c>
      <c r="H154" t="s">
        <v>0</v>
      </c>
      <c r="I154" t="s">
        <v>0</v>
      </c>
      <c r="J154">
        <f>COUNT(J156:J160)</f>
        <v>3</v>
      </c>
      <c r="K154">
        <f>COUNTIF(K156:K160,"&gt;4")</f>
        <v>2</v>
      </c>
      <c r="M154">
        <f>COUNTIF(M156:M160,1)</f>
        <v>1</v>
      </c>
      <c r="N154">
        <f>COUNTIF(N156:N160,1)</f>
        <v>2</v>
      </c>
      <c r="O154">
        <f>COUNTIF(O156:O160,"&gt;0")</f>
        <v>3</v>
      </c>
      <c r="P154">
        <f>COUNTIF(P156:P160,1)</f>
        <v>1</v>
      </c>
      <c r="Q154">
        <f>COUNTIF(Q156:Q160,1)</f>
        <v>2</v>
      </c>
      <c r="S154">
        <f>COUNTIF(S156:S160,1)</f>
        <v>2</v>
      </c>
      <c r="T154">
        <f>COUNTIFS(T156:T160,1,K156:K160,"&gt;4")</f>
        <v>2</v>
      </c>
      <c r="U154" t="s">
        <v>0</v>
      </c>
      <c r="V154">
        <f>COUNT(V156:V160)</f>
        <v>3</v>
      </c>
      <c r="W154">
        <f>COUNTIF(W156:W160,"&gt;4")</f>
        <v>2</v>
      </c>
      <c r="Y154">
        <f>COUNTIF(Y156:Y160,1)</f>
        <v>1</v>
      </c>
      <c r="Z154">
        <f>COUNTIF(Z156:Z160,1)</f>
        <v>2</v>
      </c>
      <c r="AA154">
        <f>COUNTIF(AA156:AA160,"&gt;0")</f>
        <v>3</v>
      </c>
      <c r="AB154">
        <f>COUNTIF(AB156:AB160,1)</f>
        <v>1</v>
      </c>
      <c r="AC154">
        <f>COUNTIF(AC156:AC160,1)</f>
        <v>2</v>
      </c>
      <c r="AE154">
        <f>COUNTIF(AE156:AE160,1)</f>
        <v>2</v>
      </c>
      <c r="AF154">
        <f>COUNTIFS(AF156:AF160,1,W156:W160,"&gt;4")</f>
        <v>2</v>
      </c>
    </row>
    <row r="155" spans="1:32" x14ac:dyDescent="0.2">
      <c r="A155" t="s">
        <v>4</v>
      </c>
      <c r="B155" t="s">
        <v>5</v>
      </c>
      <c r="C155" t="s">
        <v>6</v>
      </c>
      <c r="D155" t="s">
        <v>7</v>
      </c>
      <c r="E155" t="s">
        <v>6</v>
      </c>
      <c r="F155" t="s">
        <v>7</v>
      </c>
      <c r="G155" t="s">
        <v>6</v>
      </c>
      <c r="H155" t="s">
        <v>7</v>
      </c>
      <c r="I155" t="s">
        <v>0</v>
      </c>
      <c r="J155" t="s">
        <v>4</v>
      </c>
      <c r="K155" t="s">
        <v>5</v>
      </c>
      <c r="L155" t="s">
        <v>6</v>
      </c>
      <c r="M155" t="s">
        <v>7</v>
      </c>
      <c r="N155" t="s">
        <v>8</v>
      </c>
      <c r="O155" t="s">
        <v>6</v>
      </c>
      <c r="P155" t="s">
        <v>7</v>
      </c>
      <c r="Q155" t="s">
        <v>9</v>
      </c>
      <c r="R155" t="s">
        <v>6</v>
      </c>
      <c r="S155" t="s">
        <v>7</v>
      </c>
      <c r="T155" t="s">
        <v>8</v>
      </c>
      <c r="U155" t="s">
        <v>0</v>
      </c>
      <c r="V155" t="s">
        <v>10</v>
      </c>
      <c r="W155" t="s">
        <v>5</v>
      </c>
      <c r="X155" t="s">
        <v>6</v>
      </c>
      <c r="Y155" t="s">
        <v>7</v>
      </c>
      <c r="Z155" t="s">
        <v>8</v>
      </c>
      <c r="AA155" t="s">
        <v>6</v>
      </c>
      <c r="AB155" t="s">
        <v>7</v>
      </c>
      <c r="AC155" t="s">
        <v>8</v>
      </c>
      <c r="AD155" t="s">
        <v>6</v>
      </c>
      <c r="AE155" t="s">
        <v>7</v>
      </c>
      <c r="AF155" t="s">
        <v>8</v>
      </c>
    </row>
    <row r="156" spans="1:32" x14ac:dyDescent="0.2">
      <c r="A156">
        <v>1</v>
      </c>
      <c r="B156">
        <v>6</v>
      </c>
      <c r="C156">
        <v>0.98699999999999999</v>
      </c>
      <c r="D156">
        <v>0.73</v>
      </c>
      <c r="E156">
        <v>0.98699999999999999</v>
      </c>
      <c r="F156">
        <v>0.73</v>
      </c>
      <c r="G156">
        <v>1</v>
      </c>
      <c r="H156">
        <v>1</v>
      </c>
      <c r="J156">
        <v>1</v>
      </c>
      <c r="K156">
        <v>6</v>
      </c>
      <c r="L156">
        <v>0.98699999999999999</v>
      </c>
      <c r="M156">
        <v>0.73</v>
      </c>
      <c r="N156">
        <v>1</v>
      </c>
      <c r="O156">
        <v>0.98699999999999999</v>
      </c>
      <c r="P156">
        <v>0.73</v>
      </c>
      <c r="Q156">
        <v>1</v>
      </c>
      <c r="R156">
        <v>1</v>
      </c>
      <c r="S156">
        <v>1</v>
      </c>
      <c r="T156">
        <v>1</v>
      </c>
      <c r="V156">
        <v>1</v>
      </c>
      <c r="W156">
        <v>6</v>
      </c>
      <c r="X156">
        <v>0.98699999999999999</v>
      </c>
      <c r="Y156">
        <v>0.73</v>
      </c>
      <c r="Z156">
        <v>1</v>
      </c>
      <c r="AA156">
        <v>0.98699999999999999</v>
      </c>
      <c r="AB156">
        <v>0.73</v>
      </c>
      <c r="AC156">
        <v>1</v>
      </c>
      <c r="AD156">
        <v>1</v>
      </c>
      <c r="AE156">
        <v>1</v>
      </c>
      <c r="AF156">
        <v>1</v>
      </c>
    </row>
    <row r="157" spans="1:32" x14ac:dyDescent="0.2">
      <c r="A157">
        <v>2</v>
      </c>
      <c r="B157">
        <v>7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2</v>
      </c>
      <c r="K157">
        <v>7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V157">
        <v>2</v>
      </c>
      <c r="W157">
        <v>7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</row>
    <row r="158" spans="1:32" x14ac:dyDescent="0.2">
      <c r="J158">
        <v>3</v>
      </c>
      <c r="K158">
        <v>4</v>
      </c>
      <c r="L158">
        <v>0.96299999999999997</v>
      </c>
      <c r="M158">
        <v>0.87</v>
      </c>
      <c r="N158">
        <v>0.71399999999999997</v>
      </c>
      <c r="O158">
        <v>0.96299999999999997</v>
      </c>
      <c r="P158">
        <v>0.87</v>
      </c>
      <c r="Q158">
        <v>0.71399999999999997</v>
      </c>
      <c r="R158">
        <v>0.64</v>
      </c>
      <c r="S158">
        <v>0.64</v>
      </c>
      <c r="T158">
        <v>0</v>
      </c>
      <c r="V158">
        <v>3</v>
      </c>
      <c r="W158">
        <v>4</v>
      </c>
      <c r="X158">
        <v>0.96299999999999997</v>
      </c>
      <c r="Y158">
        <v>0.87</v>
      </c>
      <c r="Z158">
        <v>0.71399999999999997</v>
      </c>
      <c r="AA158">
        <v>0.96299999999999997</v>
      </c>
      <c r="AB158">
        <v>0.87</v>
      </c>
      <c r="AC158">
        <v>0.71399999999999997</v>
      </c>
      <c r="AD158">
        <v>0.64</v>
      </c>
      <c r="AE158">
        <v>0.64</v>
      </c>
      <c r="AF158">
        <v>0</v>
      </c>
    </row>
    <row r="163" spans="1:32" x14ac:dyDescent="0.2">
      <c r="A163">
        <f>COUNT(A165:A169)</f>
        <v>4</v>
      </c>
      <c r="B163">
        <f>COUNTIF(B165:B169,"&gt;4")</f>
        <v>2</v>
      </c>
      <c r="C163" t="s">
        <v>1</v>
      </c>
      <c r="D163" t="s">
        <v>0</v>
      </c>
      <c r="E163" t="s">
        <v>2</v>
      </c>
      <c r="F163" t="s">
        <v>0</v>
      </c>
      <c r="G163" t="s">
        <v>3</v>
      </c>
      <c r="H163" t="s">
        <v>0</v>
      </c>
      <c r="I163" t="s">
        <v>0</v>
      </c>
      <c r="J163">
        <f>COUNT(J165:J169)</f>
        <v>3</v>
      </c>
      <c r="K163">
        <f>COUNTIF(K165:K169,"&gt;4")</f>
        <v>0</v>
      </c>
      <c r="M163">
        <f>COUNTIF(M165:M169,1)</f>
        <v>0</v>
      </c>
      <c r="N163">
        <f>COUNTIF(N165:N169,1)</f>
        <v>1</v>
      </c>
      <c r="O163">
        <f>COUNTIF(O165:O169,"&gt;0")</f>
        <v>3</v>
      </c>
      <c r="P163">
        <f>COUNTIF(P165:P169,1)</f>
        <v>0</v>
      </c>
      <c r="Q163">
        <f>COUNTIF(Q165:Q169,1)</f>
        <v>1</v>
      </c>
      <c r="S163">
        <f>COUNTIF(S165:S169,1)</f>
        <v>0</v>
      </c>
      <c r="T163">
        <f>COUNTIFS(T165:T169,1,K165:K169,"&gt;4")</f>
        <v>0</v>
      </c>
      <c r="U163" t="s">
        <v>0</v>
      </c>
      <c r="V163">
        <f>COUNT(V165:V169)</f>
        <v>4</v>
      </c>
      <c r="W163">
        <f>COUNTIF(W165:W169,"&gt;4")</f>
        <v>0</v>
      </c>
      <c r="Y163">
        <f>COUNTIF(Y165:Y169,1)</f>
        <v>0</v>
      </c>
      <c r="Z163">
        <f>COUNTIF(Z165:Z169,1)</f>
        <v>1</v>
      </c>
      <c r="AA163">
        <f>COUNTIF(AA165:AA169,"&gt;0")</f>
        <v>4</v>
      </c>
      <c r="AB163">
        <f>COUNTIF(AB165:AB169,1)</f>
        <v>0</v>
      </c>
      <c r="AC163">
        <f>COUNTIF(AC165:AC169,1)</f>
        <v>1</v>
      </c>
      <c r="AE163">
        <f>COUNTIF(AE165:AE169,1)</f>
        <v>0</v>
      </c>
      <c r="AF163">
        <f>COUNTIFS(AF165:AF169,1,W165:W169,"&gt;4")</f>
        <v>0</v>
      </c>
    </row>
    <row r="164" spans="1:32" x14ac:dyDescent="0.2">
      <c r="A164" t="s">
        <v>4</v>
      </c>
      <c r="B164" t="s">
        <v>5</v>
      </c>
      <c r="C164" t="s">
        <v>6</v>
      </c>
      <c r="D164" t="s">
        <v>7</v>
      </c>
      <c r="E164" t="s">
        <v>6</v>
      </c>
      <c r="F164" t="s">
        <v>7</v>
      </c>
      <c r="G164" t="s">
        <v>6</v>
      </c>
      <c r="H164" t="s">
        <v>7</v>
      </c>
      <c r="I164" t="s">
        <v>0</v>
      </c>
      <c r="J164" t="s">
        <v>4</v>
      </c>
      <c r="K164" t="s">
        <v>5</v>
      </c>
      <c r="L164" t="s">
        <v>6</v>
      </c>
      <c r="M164" t="s">
        <v>7</v>
      </c>
      <c r="N164" t="s">
        <v>8</v>
      </c>
      <c r="O164" t="s">
        <v>6</v>
      </c>
      <c r="P164" t="s">
        <v>7</v>
      </c>
      <c r="Q164" t="s">
        <v>9</v>
      </c>
      <c r="R164" t="s">
        <v>6</v>
      </c>
      <c r="S164" t="s">
        <v>7</v>
      </c>
      <c r="T164" t="s">
        <v>8</v>
      </c>
      <c r="U164" t="s">
        <v>0</v>
      </c>
      <c r="V164" t="s">
        <v>10</v>
      </c>
      <c r="W164" t="s">
        <v>5</v>
      </c>
      <c r="X164" t="s">
        <v>6</v>
      </c>
      <c r="Y164" t="s">
        <v>7</v>
      </c>
      <c r="Z164" t="s">
        <v>8</v>
      </c>
      <c r="AA164" t="s">
        <v>6</v>
      </c>
      <c r="AB164" t="s">
        <v>7</v>
      </c>
      <c r="AC164" t="s">
        <v>8</v>
      </c>
      <c r="AD164" t="s">
        <v>6</v>
      </c>
      <c r="AE164" t="s">
        <v>7</v>
      </c>
      <c r="AF164" t="s">
        <v>8</v>
      </c>
    </row>
    <row r="165" spans="1:32" x14ac:dyDescent="0.2">
      <c r="A165">
        <v>1</v>
      </c>
      <c r="B165">
        <v>4</v>
      </c>
      <c r="C165">
        <v>0.99299999999999999</v>
      </c>
      <c r="D165">
        <v>0.98</v>
      </c>
      <c r="E165">
        <v>0.99299999999999999</v>
      </c>
      <c r="F165">
        <v>0.98</v>
      </c>
      <c r="G165">
        <v>0.33700000000000002</v>
      </c>
      <c r="H165">
        <v>0.31</v>
      </c>
      <c r="J165">
        <v>1</v>
      </c>
      <c r="K165">
        <v>4</v>
      </c>
      <c r="L165">
        <v>0.99299999999999999</v>
      </c>
      <c r="M165">
        <v>0.98</v>
      </c>
      <c r="N165">
        <v>1</v>
      </c>
      <c r="O165">
        <v>0.99299999999999999</v>
      </c>
      <c r="P165">
        <v>0.98</v>
      </c>
      <c r="Q165">
        <v>1</v>
      </c>
      <c r="R165">
        <v>0.33700000000000002</v>
      </c>
      <c r="S165">
        <v>0.31</v>
      </c>
      <c r="T165">
        <v>1</v>
      </c>
      <c r="V165">
        <v>1</v>
      </c>
      <c r="W165">
        <v>4</v>
      </c>
      <c r="X165">
        <v>0.99299999999999999</v>
      </c>
      <c r="Y165">
        <v>0.98</v>
      </c>
      <c r="Z165">
        <v>1</v>
      </c>
      <c r="AA165">
        <v>0.99299999999999999</v>
      </c>
      <c r="AB165">
        <v>0.98</v>
      </c>
      <c r="AC165">
        <v>1</v>
      </c>
      <c r="AD165">
        <v>0.81200000000000006</v>
      </c>
      <c r="AE165">
        <v>0.53</v>
      </c>
      <c r="AF165">
        <v>0.111</v>
      </c>
    </row>
    <row r="166" spans="1:32" x14ac:dyDescent="0.2">
      <c r="A166">
        <v>2</v>
      </c>
      <c r="B166">
        <v>5</v>
      </c>
      <c r="C166">
        <v>0.86599999999999999</v>
      </c>
      <c r="D166">
        <v>0.19</v>
      </c>
      <c r="E166">
        <v>0.86199999999999999</v>
      </c>
      <c r="F166">
        <v>0.13</v>
      </c>
      <c r="G166">
        <v>0.159</v>
      </c>
      <c r="H166">
        <v>0.11</v>
      </c>
      <c r="J166">
        <v>2</v>
      </c>
      <c r="K166">
        <v>4</v>
      </c>
      <c r="L166">
        <v>0.879</v>
      </c>
      <c r="M166">
        <v>0.47</v>
      </c>
      <c r="N166">
        <v>0.95199999999999996</v>
      </c>
      <c r="O166">
        <v>0.879</v>
      </c>
      <c r="P166">
        <v>0.46</v>
      </c>
      <c r="Q166">
        <v>0.95199999999999996</v>
      </c>
      <c r="R166">
        <v>0.77500000000000002</v>
      </c>
      <c r="S166">
        <v>0.34</v>
      </c>
      <c r="T166">
        <v>0.21099999999999999</v>
      </c>
      <c r="V166">
        <v>2</v>
      </c>
      <c r="W166">
        <v>4</v>
      </c>
      <c r="X166">
        <v>0.879</v>
      </c>
      <c r="Y166">
        <v>0.47</v>
      </c>
      <c r="Z166">
        <v>0.95199999999999996</v>
      </c>
      <c r="AA166">
        <v>0.879</v>
      </c>
      <c r="AB166">
        <v>0.46</v>
      </c>
      <c r="AC166">
        <v>0.95199999999999996</v>
      </c>
      <c r="AD166">
        <v>0.159</v>
      </c>
      <c r="AE166">
        <v>0.11</v>
      </c>
      <c r="AF166">
        <v>1</v>
      </c>
    </row>
    <row r="167" spans="1:32" x14ac:dyDescent="0.2">
      <c r="A167">
        <v>3</v>
      </c>
      <c r="B167">
        <v>5</v>
      </c>
      <c r="C167">
        <v>0.93100000000000005</v>
      </c>
      <c r="D167">
        <v>0.11</v>
      </c>
      <c r="E167">
        <v>0.92900000000000005</v>
      </c>
      <c r="F167">
        <v>7.0000000000000007E-2</v>
      </c>
      <c r="G167">
        <v>0.45700000000000002</v>
      </c>
      <c r="H167">
        <v>0.4</v>
      </c>
      <c r="J167">
        <v>3</v>
      </c>
      <c r="K167">
        <v>4</v>
      </c>
      <c r="L167">
        <v>0.96799999999999997</v>
      </c>
      <c r="M167">
        <v>0.81</v>
      </c>
      <c r="N167">
        <v>0.95199999999999996</v>
      </c>
      <c r="O167">
        <v>0.96799999999999997</v>
      </c>
      <c r="P167">
        <v>0.81</v>
      </c>
      <c r="Q167">
        <v>0.95199999999999996</v>
      </c>
      <c r="R167">
        <v>0.43099999999999999</v>
      </c>
      <c r="S167">
        <v>0.37</v>
      </c>
      <c r="T167">
        <v>0</v>
      </c>
      <c r="V167">
        <v>3</v>
      </c>
      <c r="W167">
        <v>4</v>
      </c>
      <c r="X167">
        <v>0.96799999999999997</v>
      </c>
      <c r="Y167">
        <v>0.81</v>
      </c>
      <c r="Z167">
        <v>0.95199999999999996</v>
      </c>
      <c r="AA167">
        <v>0.96799999999999997</v>
      </c>
      <c r="AB167">
        <v>0.81</v>
      </c>
      <c r="AC167">
        <v>0.95199999999999996</v>
      </c>
      <c r="AD167">
        <v>0.45700000000000002</v>
      </c>
      <c r="AE167">
        <v>0.4</v>
      </c>
      <c r="AF167">
        <v>1</v>
      </c>
    </row>
    <row r="168" spans="1:32" x14ac:dyDescent="0.2">
      <c r="A168">
        <v>4</v>
      </c>
      <c r="B168">
        <v>4</v>
      </c>
      <c r="C168">
        <v>0.74099999999999999</v>
      </c>
      <c r="D168">
        <v>0.11</v>
      </c>
      <c r="E168">
        <v>0.73599999999999999</v>
      </c>
      <c r="F168">
        <v>0</v>
      </c>
      <c r="G168">
        <v>9.8000000000000004E-2</v>
      </c>
      <c r="H168">
        <v>0</v>
      </c>
      <c r="V168">
        <v>4</v>
      </c>
      <c r="W168">
        <v>4</v>
      </c>
      <c r="X168">
        <v>0.93</v>
      </c>
      <c r="Y168">
        <v>0.81</v>
      </c>
      <c r="Z168">
        <v>0.57099999999999995</v>
      </c>
      <c r="AA168">
        <v>0.91200000000000003</v>
      </c>
      <c r="AB168">
        <v>0.46</v>
      </c>
      <c r="AC168">
        <v>0.57099999999999995</v>
      </c>
      <c r="AD168">
        <v>0.871</v>
      </c>
      <c r="AE168">
        <v>0.86</v>
      </c>
      <c r="AF168">
        <v>0</v>
      </c>
    </row>
    <row r="173" spans="1:32" x14ac:dyDescent="0.2">
      <c r="A173">
        <f>COUNT(A175:A179)</f>
        <v>4</v>
      </c>
      <c r="B173">
        <f>COUNTIF(B175:B179,"&gt;4")</f>
        <v>0</v>
      </c>
      <c r="C173" t="s">
        <v>1</v>
      </c>
      <c r="D173" t="s">
        <v>0</v>
      </c>
      <c r="E173" t="s">
        <v>2</v>
      </c>
      <c r="F173" t="s">
        <v>0</v>
      </c>
      <c r="G173" t="s">
        <v>3</v>
      </c>
      <c r="H173" t="s">
        <v>0</v>
      </c>
      <c r="I173" t="s">
        <v>0</v>
      </c>
      <c r="J173">
        <f>COUNT(J175:J179)</f>
        <v>4</v>
      </c>
      <c r="K173">
        <f>COUNTIF(K175:K179,"&gt;4")</f>
        <v>0</v>
      </c>
      <c r="M173">
        <f>COUNTIF(M175:M179,1)</f>
        <v>1</v>
      </c>
      <c r="N173">
        <f>COUNTIF(N175:N179,1)</f>
        <v>4</v>
      </c>
      <c r="O173">
        <f>COUNTIF(O175:O179,"&gt;0")</f>
        <v>4</v>
      </c>
      <c r="P173">
        <f>COUNTIF(P175:P179,1)</f>
        <v>0</v>
      </c>
      <c r="Q173">
        <f>COUNTIF(Q175:Q179,1)</f>
        <v>4</v>
      </c>
      <c r="S173">
        <f>COUNTIF(S175:S179,1)</f>
        <v>1</v>
      </c>
      <c r="T173">
        <f>COUNTIFS(T175:T179,1,K175:K179,"&gt;4")</f>
        <v>0</v>
      </c>
      <c r="U173" t="s">
        <v>0</v>
      </c>
      <c r="V173">
        <f>COUNT(V175:V179)</f>
        <v>4</v>
      </c>
      <c r="W173">
        <f>COUNTIF(W175:W179,"&gt;4")</f>
        <v>0</v>
      </c>
      <c r="Y173">
        <f>COUNTIF(Y175:Y179,1)</f>
        <v>1</v>
      </c>
      <c r="Z173">
        <f>COUNTIF(Z175:Z179,1)</f>
        <v>4</v>
      </c>
      <c r="AA173">
        <f>COUNTIF(AA175:AA179,"&gt;0")</f>
        <v>4</v>
      </c>
      <c r="AB173">
        <f>COUNTIF(AB175:AB179,1)</f>
        <v>0</v>
      </c>
      <c r="AC173">
        <f>COUNTIF(AC175:AC179,1)</f>
        <v>4</v>
      </c>
      <c r="AE173">
        <f>COUNTIF(AE175:AE179,1)</f>
        <v>1</v>
      </c>
      <c r="AF173">
        <f>COUNTIFS(AF175:AF179,1,W175:W179,"&gt;4")</f>
        <v>0</v>
      </c>
    </row>
    <row r="174" spans="1:32" x14ac:dyDescent="0.2">
      <c r="A174" t="s">
        <v>4</v>
      </c>
      <c r="B174" t="s">
        <v>5</v>
      </c>
      <c r="C174" t="s">
        <v>6</v>
      </c>
      <c r="D174" t="s">
        <v>7</v>
      </c>
      <c r="E174" t="s">
        <v>6</v>
      </c>
      <c r="F174" t="s">
        <v>7</v>
      </c>
      <c r="G174" t="s">
        <v>6</v>
      </c>
      <c r="H174" t="s">
        <v>7</v>
      </c>
      <c r="I174" t="s">
        <v>0</v>
      </c>
      <c r="J174" t="s">
        <v>4</v>
      </c>
      <c r="K174" t="s">
        <v>5</v>
      </c>
      <c r="L174" t="s">
        <v>6</v>
      </c>
      <c r="M174" t="s">
        <v>7</v>
      </c>
      <c r="N174" t="s">
        <v>8</v>
      </c>
      <c r="O174" t="s">
        <v>6</v>
      </c>
      <c r="P174" t="s">
        <v>7</v>
      </c>
      <c r="Q174" t="s">
        <v>9</v>
      </c>
      <c r="R174" t="s">
        <v>6</v>
      </c>
      <c r="S174" t="s">
        <v>7</v>
      </c>
      <c r="T174" t="s">
        <v>8</v>
      </c>
      <c r="U174" t="s">
        <v>0</v>
      </c>
      <c r="V174" t="s">
        <v>10</v>
      </c>
      <c r="W174" t="s">
        <v>5</v>
      </c>
      <c r="X174" t="s">
        <v>6</v>
      </c>
      <c r="Y174" t="s">
        <v>7</v>
      </c>
      <c r="Z174" t="s">
        <v>8</v>
      </c>
      <c r="AA174" t="s">
        <v>6</v>
      </c>
      <c r="AB174" t="s">
        <v>7</v>
      </c>
      <c r="AC174" t="s">
        <v>8</v>
      </c>
      <c r="AD174" t="s">
        <v>6</v>
      </c>
      <c r="AE174" t="s">
        <v>7</v>
      </c>
      <c r="AF174" t="s">
        <v>8</v>
      </c>
    </row>
    <row r="175" spans="1:32" x14ac:dyDescent="0.2">
      <c r="A175">
        <v>1</v>
      </c>
      <c r="B175">
        <v>4</v>
      </c>
      <c r="C175">
        <v>0.996</v>
      </c>
      <c r="D175">
        <v>0.99</v>
      </c>
      <c r="E175">
        <v>0.996</v>
      </c>
      <c r="F175">
        <v>0.99</v>
      </c>
      <c r="G175">
        <v>0.17599999999999999</v>
      </c>
      <c r="H175">
        <v>0</v>
      </c>
      <c r="J175">
        <v>1</v>
      </c>
      <c r="K175">
        <v>4</v>
      </c>
      <c r="L175">
        <v>0.996</v>
      </c>
      <c r="M175">
        <v>0.99</v>
      </c>
      <c r="N175">
        <v>1</v>
      </c>
      <c r="O175">
        <v>0.996</v>
      </c>
      <c r="P175">
        <v>0.99</v>
      </c>
      <c r="Q175">
        <v>1</v>
      </c>
      <c r="R175">
        <v>0.99</v>
      </c>
      <c r="S175">
        <v>0.99</v>
      </c>
      <c r="T175">
        <v>0.222</v>
      </c>
      <c r="V175">
        <v>1</v>
      </c>
      <c r="W175">
        <v>4</v>
      </c>
      <c r="X175">
        <v>0.996</v>
      </c>
      <c r="Y175">
        <v>0.99</v>
      </c>
      <c r="Z175">
        <v>1</v>
      </c>
      <c r="AA175">
        <v>0.996</v>
      </c>
      <c r="AB175">
        <v>0.99</v>
      </c>
      <c r="AC175">
        <v>1</v>
      </c>
      <c r="AD175">
        <v>0.99</v>
      </c>
      <c r="AE175">
        <v>0.99</v>
      </c>
      <c r="AF175">
        <v>0.222</v>
      </c>
    </row>
    <row r="176" spans="1:32" x14ac:dyDescent="0.2">
      <c r="A176">
        <v>2</v>
      </c>
      <c r="B176">
        <v>4</v>
      </c>
      <c r="C176">
        <v>1</v>
      </c>
      <c r="D176">
        <v>1</v>
      </c>
      <c r="E176">
        <v>0.999</v>
      </c>
      <c r="F176">
        <v>0.99</v>
      </c>
      <c r="G176">
        <v>0.32900000000000001</v>
      </c>
      <c r="H176">
        <v>0</v>
      </c>
      <c r="J176">
        <v>2</v>
      </c>
      <c r="K176">
        <v>4</v>
      </c>
      <c r="L176">
        <v>1</v>
      </c>
      <c r="M176">
        <v>1</v>
      </c>
      <c r="N176">
        <v>1</v>
      </c>
      <c r="O176">
        <v>0.999</v>
      </c>
      <c r="P176">
        <v>0.99</v>
      </c>
      <c r="Q176">
        <v>1</v>
      </c>
      <c r="R176">
        <v>1</v>
      </c>
      <c r="S176">
        <v>1</v>
      </c>
      <c r="T176">
        <v>0</v>
      </c>
      <c r="V176">
        <v>2</v>
      </c>
      <c r="W176">
        <v>4</v>
      </c>
      <c r="X176">
        <v>1</v>
      </c>
      <c r="Y176">
        <v>1</v>
      </c>
      <c r="Z176">
        <v>1</v>
      </c>
      <c r="AA176">
        <v>0.999</v>
      </c>
      <c r="AB176">
        <v>0.99</v>
      </c>
      <c r="AC176">
        <v>1</v>
      </c>
      <c r="AD176">
        <v>1</v>
      </c>
      <c r="AE176">
        <v>1</v>
      </c>
      <c r="AF176">
        <v>0</v>
      </c>
    </row>
    <row r="177" spans="1:32" x14ac:dyDescent="0.2">
      <c r="A177">
        <v>3</v>
      </c>
      <c r="B177">
        <v>4</v>
      </c>
      <c r="C177">
        <v>0.996</v>
      </c>
      <c r="D177">
        <v>0.99</v>
      </c>
      <c r="E177">
        <v>0.996</v>
      </c>
      <c r="F177">
        <v>0.99</v>
      </c>
      <c r="G177">
        <v>1.4E-2</v>
      </c>
      <c r="H177">
        <v>0</v>
      </c>
      <c r="J177">
        <v>3</v>
      </c>
      <c r="K177">
        <v>4</v>
      </c>
      <c r="L177">
        <v>0.996</v>
      </c>
      <c r="M177">
        <v>0.99</v>
      </c>
      <c r="N177">
        <v>1</v>
      </c>
      <c r="O177">
        <v>0.996</v>
      </c>
      <c r="P177">
        <v>0.99</v>
      </c>
      <c r="Q177">
        <v>1</v>
      </c>
      <c r="R177">
        <v>0.77100000000000002</v>
      </c>
      <c r="S177">
        <v>0.77</v>
      </c>
      <c r="T177">
        <v>0</v>
      </c>
      <c r="V177">
        <v>3</v>
      </c>
      <c r="W177">
        <v>4</v>
      </c>
      <c r="X177">
        <v>0.996</v>
      </c>
      <c r="Y177">
        <v>0.99</v>
      </c>
      <c r="Z177">
        <v>1</v>
      </c>
      <c r="AA177">
        <v>0.996</v>
      </c>
      <c r="AB177">
        <v>0.99</v>
      </c>
      <c r="AC177">
        <v>1</v>
      </c>
      <c r="AD177">
        <v>0.77100000000000002</v>
      </c>
      <c r="AE177">
        <v>0.77</v>
      </c>
      <c r="AF177">
        <v>0</v>
      </c>
    </row>
    <row r="178" spans="1:32" x14ac:dyDescent="0.2">
      <c r="A178">
        <v>4</v>
      </c>
      <c r="B178">
        <v>4</v>
      </c>
      <c r="C178">
        <v>0.996</v>
      </c>
      <c r="D178">
        <v>0.99</v>
      </c>
      <c r="E178">
        <v>0.996</v>
      </c>
      <c r="F178">
        <v>0.99</v>
      </c>
      <c r="G178">
        <v>0.17699999999999999</v>
      </c>
      <c r="H178">
        <v>0.15</v>
      </c>
      <c r="J178">
        <v>4</v>
      </c>
      <c r="K178">
        <v>4</v>
      </c>
      <c r="L178">
        <v>0.996</v>
      </c>
      <c r="M178">
        <v>0.99</v>
      </c>
      <c r="N178">
        <v>1</v>
      </c>
      <c r="O178">
        <v>0.996</v>
      </c>
      <c r="P178">
        <v>0.99</v>
      </c>
      <c r="Q178">
        <v>1</v>
      </c>
      <c r="R178">
        <v>0.79900000000000004</v>
      </c>
      <c r="S178">
        <v>0.79</v>
      </c>
      <c r="T178">
        <v>0</v>
      </c>
      <c r="V178">
        <v>4</v>
      </c>
      <c r="W178">
        <v>4</v>
      </c>
      <c r="X178">
        <v>0.996</v>
      </c>
      <c r="Y178">
        <v>0.99</v>
      </c>
      <c r="Z178">
        <v>1</v>
      </c>
      <c r="AA178">
        <v>0.996</v>
      </c>
      <c r="AB178">
        <v>0.99</v>
      </c>
      <c r="AC178">
        <v>1</v>
      </c>
      <c r="AD178">
        <v>0.79900000000000004</v>
      </c>
      <c r="AE178">
        <v>0.79</v>
      </c>
      <c r="AF178">
        <v>0</v>
      </c>
    </row>
    <row r="183" spans="1:32" x14ac:dyDescent="0.2">
      <c r="A183">
        <f>COUNT(A185:A189)</f>
        <v>4</v>
      </c>
      <c r="B183">
        <f>COUNTIF(B185:B189,"&gt;4")</f>
        <v>3</v>
      </c>
      <c r="C183" t="s">
        <v>1</v>
      </c>
      <c r="D183" t="s">
        <v>0</v>
      </c>
      <c r="E183" t="s">
        <v>2</v>
      </c>
      <c r="F183" t="s">
        <v>0</v>
      </c>
      <c r="G183" t="s">
        <v>3</v>
      </c>
      <c r="H183" t="s">
        <v>0</v>
      </c>
      <c r="I183" t="s">
        <v>0</v>
      </c>
      <c r="J183">
        <f>COUNT(J185:J189)</f>
        <v>3</v>
      </c>
      <c r="K183">
        <f>COUNTIF(K185:K189,"&gt;4")</f>
        <v>1</v>
      </c>
      <c r="M183">
        <f>COUNTIF(M185:M189,1)</f>
        <v>0</v>
      </c>
      <c r="N183">
        <f>COUNTIF(N185:N189,1)</f>
        <v>1</v>
      </c>
      <c r="O183">
        <f>COUNTIF(O185:O189,"&gt;0")</f>
        <v>3</v>
      </c>
      <c r="P183">
        <f>COUNTIF(P185:P189,1)</f>
        <v>0</v>
      </c>
      <c r="Q183">
        <f>COUNTIF(Q185:Q189,1)</f>
        <v>1</v>
      </c>
      <c r="S183">
        <f>COUNTIF(S185:S189,1)</f>
        <v>0</v>
      </c>
      <c r="T183">
        <f>COUNTIFS(T185:T189,1,K185:K189,"&gt;4")</f>
        <v>1</v>
      </c>
      <c r="U183" t="s">
        <v>0</v>
      </c>
      <c r="V183">
        <f>COUNT(V185:V189)</f>
        <v>3</v>
      </c>
      <c r="W183">
        <f>COUNTIF(W185:W189,"&gt;4")</f>
        <v>2</v>
      </c>
      <c r="Y183">
        <f>COUNTIF(Y185:Y189,1)</f>
        <v>0</v>
      </c>
      <c r="Z183">
        <f>COUNTIF(Z185:Z189,1)</f>
        <v>2</v>
      </c>
      <c r="AA183">
        <f>COUNTIF(AA185:AA189,"&gt;0")</f>
        <v>3</v>
      </c>
      <c r="AB183">
        <f>COUNTIF(AB185:AB189,1)</f>
        <v>0</v>
      </c>
      <c r="AC183">
        <f>COUNTIF(AC185:AC189,1)</f>
        <v>2</v>
      </c>
      <c r="AE183">
        <f>COUNTIF(AE185:AE189,1)</f>
        <v>0</v>
      </c>
      <c r="AF183">
        <f>COUNTIFS(AF185:AF189,1,W185:W189,"&gt;4")</f>
        <v>2</v>
      </c>
    </row>
    <row r="184" spans="1:32" x14ac:dyDescent="0.2">
      <c r="A184" t="s">
        <v>4</v>
      </c>
      <c r="B184" t="s">
        <v>5</v>
      </c>
      <c r="C184" t="s">
        <v>6</v>
      </c>
      <c r="D184" t="s">
        <v>7</v>
      </c>
      <c r="E184" t="s">
        <v>6</v>
      </c>
      <c r="F184" t="s">
        <v>7</v>
      </c>
      <c r="G184" t="s">
        <v>6</v>
      </c>
      <c r="H184" t="s">
        <v>7</v>
      </c>
      <c r="I184" t="s">
        <v>0</v>
      </c>
      <c r="J184" t="s">
        <v>4</v>
      </c>
      <c r="K184" t="s">
        <v>5</v>
      </c>
      <c r="L184" t="s">
        <v>6</v>
      </c>
      <c r="M184" t="s">
        <v>7</v>
      </c>
      <c r="N184" t="s">
        <v>8</v>
      </c>
      <c r="O184" t="s">
        <v>6</v>
      </c>
      <c r="P184" t="s">
        <v>7</v>
      </c>
      <c r="Q184" t="s">
        <v>9</v>
      </c>
      <c r="R184" t="s">
        <v>6</v>
      </c>
      <c r="S184" t="s">
        <v>7</v>
      </c>
      <c r="T184" t="s">
        <v>8</v>
      </c>
      <c r="U184" t="s">
        <v>0</v>
      </c>
      <c r="V184" t="s">
        <v>10</v>
      </c>
      <c r="W184" t="s">
        <v>5</v>
      </c>
      <c r="X184" t="s">
        <v>6</v>
      </c>
      <c r="Y184" t="s">
        <v>7</v>
      </c>
      <c r="Z184" t="s">
        <v>8</v>
      </c>
      <c r="AA184" t="s">
        <v>6</v>
      </c>
      <c r="AB184" t="s">
        <v>7</v>
      </c>
      <c r="AC184" t="s">
        <v>8</v>
      </c>
      <c r="AD184" t="s">
        <v>6</v>
      </c>
      <c r="AE184" t="s">
        <v>7</v>
      </c>
      <c r="AF184" t="s">
        <v>8</v>
      </c>
    </row>
    <row r="185" spans="1:32" x14ac:dyDescent="0.2">
      <c r="A185">
        <v>1</v>
      </c>
      <c r="B185">
        <v>4</v>
      </c>
      <c r="C185">
        <v>0.70899999999999996</v>
      </c>
      <c r="D185">
        <v>0.09</v>
      </c>
      <c r="E185">
        <v>0.70499999999999996</v>
      </c>
      <c r="F185">
        <v>0</v>
      </c>
      <c r="G185">
        <v>9.5000000000000001E-2</v>
      </c>
      <c r="H185">
        <v>0</v>
      </c>
      <c r="J185">
        <v>1</v>
      </c>
      <c r="K185">
        <v>5</v>
      </c>
      <c r="L185">
        <v>0.98699999999999999</v>
      </c>
      <c r="M185">
        <v>0.73</v>
      </c>
      <c r="N185">
        <v>1</v>
      </c>
      <c r="O185">
        <v>0.98699999999999999</v>
      </c>
      <c r="P185">
        <v>0.72</v>
      </c>
      <c r="Q185">
        <v>1</v>
      </c>
      <c r="R185">
        <v>0.98199999999999998</v>
      </c>
      <c r="S185">
        <v>0.98</v>
      </c>
      <c r="T185">
        <v>1</v>
      </c>
      <c r="V185">
        <v>1</v>
      </c>
      <c r="W185">
        <v>5</v>
      </c>
      <c r="X185">
        <v>0.98699999999999999</v>
      </c>
      <c r="Y185">
        <v>0.73</v>
      </c>
      <c r="Z185">
        <v>1</v>
      </c>
      <c r="AA185">
        <v>0.98699999999999999</v>
      </c>
      <c r="AB185">
        <v>0.72</v>
      </c>
      <c r="AC185">
        <v>1</v>
      </c>
      <c r="AD185">
        <v>0.98199999999999998</v>
      </c>
      <c r="AE185">
        <v>0.98</v>
      </c>
      <c r="AF185">
        <v>1</v>
      </c>
    </row>
    <row r="186" spans="1:32" x14ac:dyDescent="0.2">
      <c r="A186">
        <v>2</v>
      </c>
      <c r="B186">
        <v>5</v>
      </c>
      <c r="C186">
        <v>0.98699999999999999</v>
      </c>
      <c r="D186">
        <v>0.73</v>
      </c>
      <c r="E186">
        <v>0.98699999999999999</v>
      </c>
      <c r="F186">
        <v>0.72</v>
      </c>
      <c r="G186">
        <v>0.98199999999999998</v>
      </c>
      <c r="H186">
        <v>0.98</v>
      </c>
      <c r="J186">
        <v>2</v>
      </c>
      <c r="K186">
        <v>4</v>
      </c>
      <c r="L186">
        <v>0.95</v>
      </c>
      <c r="M186">
        <v>0.22</v>
      </c>
      <c r="N186">
        <v>0.95199999999999996</v>
      </c>
      <c r="O186">
        <v>0.95</v>
      </c>
      <c r="P186">
        <v>0.22</v>
      </c>
      <c r="Q186">
        <v>0.95199999999999996</v>
      </c>
      <c r="R186">
        <v>0.16800000000000001</v>
      </c>
      <c r="S186">
        <v>0.14000000000000001</v>
      </c>
      <c r="T186">
        <v>0</v>
      </c>
      <c r="V186">
        <v>2</v>
      </c>
      <c r="W186">
        <v>5</v>
      </c>
      <c r="X186">
        <v>0.97599999999999998</v>
      </c>
      <c r="Y186">
        <v>0.61</v>
      </c>
      <c r="Z186">
        <v>1</v>
      </c>
      <c r="AA186">
        <v>0.97599999999999998</v>
      </c>
      <c r="AB186">
        <v>0.61</v>
      </c>
      <c r="AC186">
        <v>1</v>
      </c>
      <c r="AD186">
        <v>0.69499999999999995</v>
      </c>
      <c r="AE186">
        <v>0.69</v>
      </c>
      <c r="AF186">
        <v>1</v>
      </c>
    </row>
    <row r="187" spans="1:32" x14ac:dyDescent="0.2">
      <c r="A187">
        <v>3</v>
      </c>
      <c r="B187">
        <v>5</v>
      </c>
      <c r="C187">
        <v>0.97599999999999998</v>
      </c>
      <c r="D187">
        <v>0.61</v>
      </c>
      <c r="E187">
        <v>0.97599999999999998</v>
      </c>
      <c r="F187">
        <v>0.61</v>
      </c>
      <c r="G187">
        <v>0.69499999999999995</v>
      </c>
      <c r="H187">
        <v>0.69</v>
      </c>
      <c r="J187">
        <v>3</v>
      </c>
      <c r="K187">
        <v>4</v>
      </c>
      <c r="L187">
        <v>0.92600000000000005</v>
      </c>
      <c r="M187">
        <v>0.45</v>
      </c>
      <c r="N187">
        <v>0.90500000000000003</v>
      </c>
      <c r="O187">
        <v>0.92600000000000005</v>
      </c>
      <c r="P187">
        <v>0.45</v>
      </c>
      <c r="Q187">
        <v>0.90500000000000003</v>
      </c>
      <c r="R187">
        <v>0.61099999999999999</v>
      </c>
      <c r="S187">
        <v>0.22</v>
      </c>
      <c r="T187">
        <v>0.222</v>
      </c>
      <c r="V187">
        <v>3</v>
      </c>
      <c r="W187">
        <v>4</v>
      </c>
      <c r="X187">
        <v>0.92600000000000005</v>
      </c>
      <c r="Y187">
        <v>0.45</v>
      </c>
      <c r="Z187">
        <v>0.90500000000000003</v>
      </c>
      <c r="AA187">
        <v>0.92600000000000005</v>
      </c>
      <c r="AB187">
        <v>0.45</v>
      </c>
      <c r="AC187">
        <v>0.90500000000000003</v>
      </c>
      <c r="AD187">
        <v>0.61099999999999999</v>
      </c>
      <c r="AE187">
        <v>0.22</v>
      </c>
      <c r="AF187">
        <v>0.222</v>
      </c>
    </row>
    <row r="188" spans="1:32" x14ac:dyDescent="0.2">
      <c r="A188">
        <v>4</v>
      </c>
      <c r="B188">
        <v>6</v>
      </c>
      <c r="C188">
        <v>0.90900000000000003</v>
      </c>
      <c r="D188">
        <v>0.25</v>
      </c>
      <c r="E188">
        <v>0.90900000000000003</v>
      </c>
      <c r="F188">
        <v>0.25</v>
      </c>
      <c r="G188">
        <v>0.39600000000000002</v>
      </c>
      <c r="H188">
        <v>0.38</v>
      </c>
    </row>
    <row r="193" spans="1:32" x14ac:dyDescent="0.2">
      <c r="A193">
        <f>COUNT(A195:A199)</f>
        <v>4</v>
      </c>
      <c r="B193">
        <f>COUNTIF(B195:B199,"&gt;4")</f>
        <v>3</v>
      </c>
      <c r="C193" t="s">
        <v>1</v>
      </c>
      <c r="D193" t="s">
        <v>0</v>
      </c>
      <c r="E193" t="s">
        <v>2</v>
      </c>
      <c r="F193" t="s">
        <v>0</v>
      </c>
      <c r="G193" t="s">
        <v>3</v>
      </c>
      <c r="H193" t="s">
        <v>0</v>
      </c>
      <c r="I193" t="s">
        <v>0</v>
      </c>
      <c r="J193">
        <f>COUNT(J195:J199)</f>
        <v>3</v>
      </c>
      <c r="K193">
        <f>COUNTIF(K195:K199,"&gt;4")</f>
        <v>1</v>
      </c>
      <c r="M193">
        <f>COUNTIF(M195:M199,1)</f>
        <v>0</v>
      </c>
      <c r="N193">
        <f>COUNTIF(N195:N199,1)</f>
        <v>0</v>
      </c>
      <c r="O193">
        <f>COUNTIF(O195:O199,"&gt;0")</f>
        <v>3</v>
      </c>
      <c r="P193">
        <f>COUNTIF(P195:P199,1)</f>
        <v>0</v>
      </c>
      <c r="Q193">
        <f>COUNTIF(Q195:Q199,1)</f>
        <v>0</v>
      </c>
      <c r="S193">
        <f>COUNTIF(S195:S199,1)</f>
        <v>1</v>
      </c>
      <c r="T193">
        <f>COUNTIFS(T195:T199,1,K195:K199,"&gt;4")</f>
        <v>1</v>
      </c>
      <c r="U193" t="s">
        <v>0</v>
      </c>
      <c r="V193">
        <f>COUNT(V195:V199)</f>
        <v>3</v>
      </c>
      <c r="W193">
        <f>COUNTIF(W195:W199,"&gt;4")</f>
        <v>2</v>
      </c>
      <c r="Y193">
        <f>COUNTIF(Y195:Y199,1)</f>
        <v>0</v>
      </c>
      <c r="Z193">
        <f>COUNTIF(Z195:Z199,1)</f>
        <v>2</v>
      </c>
      <c r="AA193">
        <f>COUNTIF(AA195:AA199,"&gt;0")</f>
        <v>3</v>
      </c>
      <c r="AB193">
        <f>COUNTIF(AB195:AB199,1)</f>
        <v>0</v>
      </c>
      <c r="AC193">
        <f>COUNTIF(AC195:AC199,1)</f>
        <v>2</v>
      </c>
      <c r="AE193">
        <f>COUNTIF(AE195:AE199,1)</f>
        <v>1</v>
      </c>
      <c r="AF193">
        <f>COUNTIFS(AF195:AF199,1,W195:W199,"&gt;4")</f>
        <v>2</v>
      </c>
    </row>
    <row r="194" spans="1:32" x14ac:dyDescent="0.2">
      <c r="A194" t="s">
        <v>4</v>
      </c>
      <c r="B194" t="s">
        <v>5</v>
      </c>
      <c r="C194" t="s">
        <v>6</v>
      </c>
      <c r="D194" t="s">
        <v>7</v>
      </c>
      <c r="E194" t="s">
        <v>6</v>
      </c>
      <c r="F194" t="s">
        <v>7</v>
      </c>
      <c r="G194" t="s">
        <v>6</v>
      </c>
      <c r="H194" t="s">
        <v>7</v>
      </c>
      <c r="I194" t="s">
        <v>0</v>
      </c>
      <c r="J194" t="s">
        <v>4</v>
      </c>
      <c r="K194" t="s">
        <v>5</v>
      </c>
      <c r="L194" t="s">
        <v>6</v>
      </c>
      <c r="M194" t="s">
        <v>7</v>
      </c>
      <c r="N194" t="s">
        <v>8</v>
      </c>
      <c r="O194" t="s">
        <v>6</v>
      </c>
      <c r="P194" t="s">
        <v>7</v>
      </c>
      <c r="Q194" t="s">
        <v>9</v>
      </c>
      <c r="R194" t="s">
        <v>6</v>
      </c>
      <c r="S194" t="s">
        <v>7</v>
      </c>
      <c r="T194" t="s">
        <v>8</v>
      </c>
      <c r="U194" t="s">
        <v>0</v>
      </c>
      <c r="V194" t="s">
        <v>10</v>
      </c>
      <c r="W194" t="s">
        <v>5</v>
      </c>
      <c r="X194" t="s">
        <v>6</v>
      </c>
      <c r="Y194" t="s">
        <v>7</v>
      </c>
      <c r="Z194" t="s">
        <v>8</v>
      </c>
      <c r="AA194" t="s">
        <v>6</v>
      </c>
      <c r="AB194" t="s">
        <v>7</v>
      </c>
      <c r="AC194" t="s">
        <v>8</v>
      </c>
      <c r="AD194" t="s">
        <v>6</v>
      </c>
      <c r="AE194" t="s">
        <v>7</v>
      </c>
      <c r="AF194" t="s">
        <v>8</v>
      </c>
    </row>
    <row r="195" spans="1:32" x14ac:dyDescent="0.2">
      <c r="A195">
        <v>1</v>
      </c>
      <c r="B195">
        <v>7</v>
      </c>
      <c r="C195">
        <v>0.95199999999999996</v>
      </c>
      <c r="D195">
        <v>0.44</v>
      </c>
      <c r="E195">
        <v>0.95199999999999996</v>
      </c>
      <c r="F195">
        <v>0.44</v>
      </c>
      <c r="G195">
        <v>1</v>
      </c>
      <c r="H195">
        <v>1</v>
      </c>
      <c r="J195">
        <v>1</v>
      </c>
      <c r="K195">
        <v>5</v>
      </c>
      <c r="L195">
        <v>0.95199999999999996</v>
      </c>
      <c r="M195">
        <v>0.43</v>
      </c>
      <c r="N195">
        <v>0.90500000000000003</v>
      </c>
      <c r="O195">
        <v>0.95199999999999996</v>
      </c>
      <c r="P195">
        <v>0.43</v>
      </c>
      <c r="Q195">
        <v>0.90500000000000003</v>
      </c>
      <c r="R195">
        <v>1</v>
      </c>
      <c r="S195">
        <v>1</v>
      </c>
      <c r="T195">
        <v>1</v>
      </c>
      <c r="V195">
        <v>1</v>
      </c>
      <c r="W195">
        <v>7</v>
      </c>
      <c r="X195">
        <v>0.95199999999999996</v>
      </c>
      <c r="Y195">
        <v>0.44</v>
      </c>
      <c r="Z195">
        <v>1</v>
      </c>
      <c r="AA195">
        <v>0.95199999999999996</v>
      </c>
      <c r="AB195">
        <v>0.44</v>
      </c>
      <c r="AC195">
        <v>1</v>
      </c>
      <c r="AD195">
        <v>1</v>
      </c>
      <c r="AE195">
        <v>1</v>
      </c>
      <c r="AF195">
        <v>1</v>
      </c>
    </row>
    <row r="196" spans="1:32" x14ac:dyDescent="0.2">
      <c r="A196">
        <v>2</v>
      </c>
      <c r="B196">
        <v>6</v>
      </c>
      <c r="C196">
        <v>0.97299999999999998</v>
      </c>
      <c r="D196">
        <v>0.57999999999999996</v>
      </c>
      <c r="E196">
        <v>0.95599999999999996</v>
      </c>
      <c r="F196">
        <v>0.39</v>
      </c>
      <c r="G196">
        <v>0.62</v>
      </c>
      <c r="H196">
        <v>0.62</v>
      </c>
      <c r="J196">
        <v>2</v>
      </c>
      <c r="K196">
        <v>4</v>
      </c>
      <c r="L196">
        <v>0.92100000000000004</v>
      </c>
      <c r="M196">
        <v>0.06</v>
      </c>
      <c r="N196">
        <v>0.90500000000000003</v>
      </c>
      <c r="O196">
        <v>0.91700000000000004</v>
      </c>
      <c r="P196">
        <v>0.06</v>
      </c>
      <c r="Q196">
        <v>0.90500000000000003</v>
      </c>
      <c r="R196">
        <v>8.5999999999999993E-2</v>
      </c>
      <c r="S196">
        <v>7.0000000000000007E-2</v>
      </c>
      <c r="T196">
        <v>0</v>
      </c>
      <c r="V196">
        <v>2</v>
      </c>
      <c r="W196">
        <v>6</v>
      </c>
      <c r="X196">
        <v>0.97299999999999998</v>
      </c>
      <c r="Y196">
        <v>0.57999999999999996</v>
      </c>
      <c r="Z196">
        <v>1</v>
      </c>
      <c r="AA196">
        <v>0.95599999999999996</v>
      </c>
      <c r="AB196">
        <v>0.39</v>
      </c>
      <c r="AC196">
        <v>1</v>
      </c>
      <c r="AD196">
        <v>0.62</v>
      </c>
      <c r="AE196">
        <v>0.62</v>
      </c>
      <c r="AF196">
        <v>1</v>
      </c>
    </row>
    <row r="197" spans="1:32" x14ac:dyDescent="0.2">
      <c r="A197">
        <v>3</v>
      </c>
      <c r="B197">
        <v>5</v>
      </c>
      <c r="C197">
        <v>0.95899999999999996</v>
      </c>
      <c r="D197">
        <v>0.25</v>
      </c>
      <c r="E197">
        <v>0.95899999999999996</v>
      </c>
      <c r="F197">
        <v>0.25</v>
      </c>
      <c r="G197">
        <v>0.10100000000000001</v>
      </c>
      <c r="H197">
        <v>0.05</v>
      </c>
      <c r="J197">
        <v>3</v>
      </c>
      <c r="K197">
        <v>4</v>
      </c>
      <c r="L197">
        <v>0.96099999999999997</v>
      </c>
      <c r="M197">
        <v>0.51</v>
      </c>
      <c r="N197">
        <v>0.95199999999999996</v>
      </c>
      <c r="O197">
        <v>0.96099999999999997</v>
      </c>
      <c r="P197">
        <v>0.51</v>
      </c>
      <c r="Q197">
        <v>0.95199999999999996</v>
      </c>
      <c r="R197">
        <v>0.51300000000000001</v>
      </c>
      <c r="S197">
        <v>0.5</v>
      </c>
      <c r="T197">
        <v>0</v>
      </c>
      <c r="V197">
        <v>3</v>
      </c>
      <c r="W197">
        <v>4</v>
      </c>
      <c r="X197">
        <v>0.96099999999999997</v>
      </c>
      <c r="Y197">
        <v>0.51</v>
      </c>
      <c r="Z197">
        <v>0.95199999999999996</v>
      </c>
      <c r="AA197">
        <v>0.96099999999999997</v>
      </c>
      <c r="AB197">
        <v>0.51</v>
      </c>
      <c r="AC197">
        <v>0.95199999999999996</v>
      </c>
      <c r="AD197">
        <v>0.51300000000000001</v>
      </c>
      <c r="AE197">
        <v>0.5</v>
      </c>
      <c r="AF197">
        <v>0</v>
      </c>
    </row>
    <row r="198" spans="1:32" x14ac:dyDescent="0.2">
      <c r="A198">
        <v>4</v>
      </c>
      <c r="B198">
        <v>4</v>
      </c>
      <c r="C198">
        <v>0.68700000000000006</v>
      </c>
      <c r="D198">
        <v>0.08</v>
      </c>
      <c r="E198">
        <v>0.68700000000000006</v>
      </c>
      <c r="F198">
        <v>0.08</v>
      </c>
      <c r="G198">
        <v>2.1000000000000001E-2</v>
      </c>
      <c r="H198">
        <v>0</v>
      </c>
    </row>
    <row r="201" spans="1:32" x14ac:dyDescent="0.2">
      <c r="A201">
        <f>A193+A183+A154+A145+A135+A125+A116+A96+A87+A76+A65+A55+A46+A36+A25+A15+A4+A173+A163+A106</f>
        <v>67</v>
      </c>
      <c r="B201">
        <f>B193+B183+B154+B145+B135+B125+B116+B96+B87+B76+B65+B55+B46+B36+B25+B15+B4+B173+B163+B106</f>
        <v>34</v>
      </c>
      <c r="J201">
        <f>J193+J183+J154+J145+J135+J125+J116+J96+J87+J76+J65+J55+J46+J36+J25+J15+J4+J173+J163+J106</f>
        <v>66</v>
      </c>
      <c r="K201">
        <f>K193+K183+K154+K145+K135+K125+K116+K96+K87+K76+K65+K55+K46+K36+K25+K15+K4+K173+K163+K106</f>
        <v>18</v>
      </c>
      <c r="M201">
        <f>M193+M183+M154+M145+M135+M125+M116+M96+M87+M76+M65+M55+M46+M36+M25+M15+M4+M173+M163+M106</f>
        <v>5</v>
      </c>
      <c r="N201">
        <f>N193+N183+N154+N145+N135+N125+N116+N96+N87+N76+N65+N55+N46+N36+N25+N15+N4+N173+N163+N106</f>
        <v>36</v>
      </c>
      <c r="O201">
        <f>O193+O183+O154+O145+O135+O125+O116+O96+O87+O76+O65+O55+O46+O36+O25+O15+O4+O173+O163+O106</f>
        <v>66</v>
      </c>
      <c r="P201">
        <f>P193+P183+P154+P145+P135+P125+P116+P96+P87+P76+P65+P55+P46+P36+P25+P15+P4+P173+P163+P106</f>
        <v>4</v>
      </c>
      <c r="Q201">
        <f>Q193+Q183+Q154+Q145+Q135+Q125+Q116+Q96+Q87+Q76+Q65+Q55+Q46+Q36+Q25+Q15+Q4+Q173+Q163+Q106</f>
        <v>36</v>
      </c>
      <c r="S201">
        <f>S193+S183+S154+S145+S135+S125+S116+S96+S87+S76+S65+S55+S46+S36+S25+S15+S4+S173+S163+S106</f>
        <v>11</v>
      </c>
      <c r="T201">
        <f>T193+T183+T154+T145+T135+T125+T116+T96+T87+T76+T65+T55+T46+T36+T25+T15+T4+T173+T163+T106</f>
        <v>18</v>
      </c>
      <c r="V201">
        <f>V193+V183+V154+V145+V135+V125+V116+V96+V87+V76+V65+V55+V46+V36+V25+V15+V4+V173+V163+V106</f>
        <v>69</v>
      </c>
      <c r="W201">
        <f>W193+W183+W154+W145+W135+W125+W116+W96+W87+W76+W65+W55+W46+W36+W25+W15+W4+W173+W163+W106</f>
        <v>21</v>
      </c>
      <c r="Y201">
        <f>Y193+Y183+Y154+Y145+Y135+Y125+Y116+Y96+Y87+Y76+Y65+Y55+Y46+Y36+Y25+Y15+Y4+Y173+Y163+Y106</f>
        <v>5</v>
      </c>
      <c r="Z201">
        <f>Z193+Z183+Z154+Z145+Z135+Z125+Z116+Z96+Z87+Z76+Z65+Z55+Z46+Z36+Z25+Z15+Z4+Z173+Z163+Z106</f>
        <v>42</v>
      </c>
      <c r="AA201">
        <f>AA193+AA183+AA154+AA145+AA135+AA125+AA116+AA96+AA87+AA76+AA65+AA55+AA46+AA36+AA25+AA15+AA4+AA173+AA163+AA106</f>
        <v>69</v>
      </c>
      <c r="AB201">
        <f>AB193+AB183+AB154+AB145+AB135+AB125+AB116+AB96+AB87+AB76+AB65+AB55+AB46+AB36+AB25+AB15+AB4+AB173+AB163+AB106</f>
        <v>4</v>
      </c>
      <c r="AC201">
        <f>AC193+AC183+AC154+AC145+AC135+AC125+AC116+AC96+AC87+AC76+AC65+AC55+AC46+AC36+AC25+AC15+AC4+AC173+AC163+AC106</f>
        <v>42</v>
      </c>
      <c r="AE201">
        <f>AE193+AE183+AE154+AE145+AE135+AE125+AE116+AE96+AE87+AE76+AE65+AE55+AE46+AE36+AE25+AE15+AE4+AE173+AE163+AE106</f>
        <v>11</v>
      </c>
      <c r="AF201">
        <f>AF193+AF183+AF154+AF145+AF135+AF125+AF116+AF96+AF87+AF76+AF65+AF55+AF46+AF36+AF25+AF15+AF4+AF173+AF163+AF106</f>
        <v>20</v>
      </c>
    </row>
    <row r="202" spans="1:32" x14ac:dyDescent="0.2">
      <c r="A202">
        <f>A201</f>
        <v>67</v>
      </c>
      <c r="B202">
        <f>B201</f>
        <v>34</v>
      </c>
    </row>
    <row r="203" spans="1:32" x14ac:dyDescent="0.2">
      <c r="Z203" s="1">
        <f>Z201/V201</f>
        <v>0.60869565217391308</v>
      </c>
      <c r="AC203" s="1">
        <f>AC201/V201</f>
        <v>0.60869565217391308</v>
      </c>
      <c r="AF203" s="1">
        <f>AF201/W201</f>
        <v>0.95238095238095233</v>
      </c>
    </row>
    <row r="204" spans="1:32" x14ac:dyDescent="0.2">
      <c r="Z204" s="1">
        <f>Z201/$A$202</f>
        <v>0.62686567164179108</v>
      </c>
      <c r="AC204" s="1">
        <f>AC201/$A$202</f>
        <v>0.62686567164179108</v>
      </c>
      <c r="AF204" s="1">
        <f>AF201/$B$202</f>
        <v>0.58823529411764708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006512736</dc:creator>
  <cp:lastModifiedBy>Hector Banos Cervantes</cp:lastModifiedBy>
  <dcterms:created xsi:type="dcterms:W3CDTF">2026-07-03T22:44:15Z</dcterms:created>
  <dcterms:modified xsi:type="dcterms:W3CDTF">2026-07-04T02:20:39Z</dcterms:modified>
</cp:coreProperties>
</file>