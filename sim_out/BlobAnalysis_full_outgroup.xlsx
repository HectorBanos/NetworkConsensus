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csusanbernardino-my.sharepoint.com/personal/006512736_csusb_edu/Documents/Documents/ToBolivier/R/Pipeline/CleanPipeline-thirdv2/sim_out/"/>
    </mc:Choice>
  </mc:AlternateContent>
  <xr:revisionPtr revIDLastSave="16" documentId="11_C3CE303C1DE1651577CFE50E434B8E352850106D" xr6:coauthVersionLast="47" xr6:coauthVersionMax="47" xr10:uidLastSave="{B55F92EE-BE32-B74B-A91D-DD61C1E2CD47}"/>
  <bookViews>
    <workbookView xWindow="0" yWindow="600" windowWidth="30580" windowHeight="18360" xr2:uid="{00000000-000D-0000-FFFF-FFFF00000000}"/>
  </bookViews>
  <sheets>
    <sheet name="Mat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3" i="1" l="1"/>
  <c r="AL203" i="1"/>
  <c r="AL206" i="1" s="1"/>
  <c r="Z206" i="1"/>
  <c r="Z205" i="1"/>
  <c r="AF203" i="1"/>
  <c r="AF206" i="1" s="1"/>
  <c r="AE203" i="1"/>
  <c r="AC203" i="1"/>
  <c r="AC206" i="1" s="1"/>
  <c r="AB203" i="1"/>
  <c r="AA203" i="1"/>
  <c r="Z203" i="1"/>
  <c r="Y203" i="1"/>
  <c r="W203" i="1"/>
  <c r="V203" i="1"/>
  <c r="T206" i="1"/>
  <c r="T205" i="1"/>
  <c r="Q205" i="1"/>
  <c r="Q206" i="1"/>
  <c r="B202" i="1"/>
  <c r="A202" i="1"/>
  <c r="N206" i="1" s="1"/>
  <c r="N205" i="1"/>
  <c r="T203" i="1"/>
  <c r="S203" i="1"/>
  <c r="Q203" i="1"/>
  <c r="P203" i="1"/>
  <c r="O203" i="1"/>
  <c r="N203" i="1"/>
  <c r="M203" i="1"/>
  <c r="K203" i="1"/>
  <c r="J203" i="1"/>
  <c r="B203" i="1"/>
  <c r="A203" i="1"/>
  <c r="BD4" i="1"/>
  <c r="BC4" i="1"/>
  <c r="BA4" i="1"/>
  <c r="AZ4" i="1"/>
  <c r="AY4" i="1"/>
  <c r="AX4" i="1"/>
  <c r="AW4" i="1"/>
  <c r="AU4" i="1"/>
  <c r="AT4" i="1"/>
  <c r="AR4" i="1"/>
  <c r="AQ4" i="1"/>
  <c r="AO4" i="1"/>
  <c r="AN4" i="1"/>
  <c r="AM4" i="1"/>
  <c r="AL4" i="1"/>
  <c r="AK4" i="1"/>
  <c r="AI4" i="1"/>
  <c r="AH4" i="1"/>
  <c r="AF4" i="1"/>
  <c r="AE4" i="1"/>
  <c r="AC4" i="1"/>
  <c r="AB4" i="1"/>
  <c r="AA4" i="1"/>
  <c r="Z4" i="1"/>
  <c r="Y4" i="1"/>
  <c r="W4" i="1"/>
  <c r="V4" i="1"/>
  <c r="T4" i="1"/>
  <c r="S4" i="1"/>
  <c r="Q4" i="1"/>
  <c r="P4" i="1"/>
  <c r="O4" i="1"/>
  <c r="N4" i="1"/>
  <c r="M4" i="1"/>
  <c r="K4" i="1"/>
  <c r="J4" i="1"/>
  <c r="B4" i="1"/>
  <c r="A4" i="1"/>
  <c r="BD15" i="1"/>
  <c r="BC15" i="1"/>
  <c r="BA15" i="1"/>
  <c r="AZ15" i="1"/>
  <c r="AY15" i="1"/>
  <c r="AX15" i="1"/>
  <c r="AW15" i="1"/>
  <c r="AU15" i="1"/>
  <c r="AT15" i="1"/>
  <c r="AR15" i="1"/>
  <c r="AQ15" i="1"/>
  <c r="AO15" i="1"/>
  <c r="AN15" i="1"/>
  <c r="AM15" i="1"/>
  <c r="AL15" i="1"/>
  <c r="AK15" i="1"/>
  <c r="AI15" i="1"/>
  <c r="AH15" i="1"/>
  <c r="AF15" i="1"/>
  <c r="AE15" i="1"/>
  <c r="AC15" i="1"/>
  <c r="AB15" i="1"/>
  <c r="AA15" i="1"/>
  <c r="Z15" i="1"/>
  <c r="Y15" i="1"/>
  <c r="W15" i="1"/>
  <c r="V15" i="1"/>
  <c r="T15" i="1"/>
  <c r="S15" i="1"/>
  <c r="Q15" i="1"/>
  <c r="P15" i="1"/>
  <c r="O15" i="1"/>
  <c r="N15" i="1"/>
  <c r="M15" i="1"/>
  <c r="K15" i="1"/>
  <c r="J15" i="1"/>
  <c r="B15" i="1"/>
  <c r="A15" i="1"/>
  <c r="BD25" i="1"/>
  <c r="BC25" i="1"/>
  <c r="BA25" i="1"/>
  <c r="AZ25" i="1"/>
  <c r="AY25" i="1"/>
  <c r="AX25" i="1"/>
  <c r="AW25" i="1"/>
  <c r="AU25" i="1"/>
  <c r="AT25" i="1"/>
  <c r="AR25" i="1"/>
  <c r="AQ25" i="1"/>
  <c r="AO25" i="1"/>
  <c r="AN25" i="1"/>
  <c r="AM25" i="1"/>
  <c r="AL25" i="1"/>
  <c r="AK25" i="1"/>
  <c r="AI25" i="1"/>
  <c r="AH25" i="1"/>
  <c r="AF25" i="1"/>
  <c r="AE25" i="1"/>
  <c r="AC25" i="1"/>
  <c r="AB25" i="1"/>
  <c r="AA25" i="1"/>
  <c r="Z25" i="1"/>
  <c r="Y25" i="1"/>
  <c r="W25" i="1"/>
  <c r="V25" i="1"/>
  <c r="T25" i="1"/>
  <c r="S25" i="1"/>
  <c r="Q25" i="1"/>
  <c r="P25" i="1"/>
  <c r="O25" i="1"/>
  <c r="N25" i="1"/>
  <c r="M25" i="1"/>
  <c r="K25" i="1"/>
  <c r="J25" i="1"/>
  <c r="B25" i="1"/>
  <c r="A25" i="1"/>
  <c r="BD36" i="1"/>
  <c r="BC36" i="1"/>
  <c r="BA36" i="1"/>
  <c r="AZ36" i="1"/>
  <c r="AY36" i="1"/>
  <c r="AX36" i="1"/>
  <c r="AW36" i="1"/>
  <c r="AU36" i="1"/>
  <c r="AT36" i="1"/>
  <c r="AR36" i="1"/>
  <c r="AQ36" i="1"/>
  <c r="AO36" i="1"/>
  <c r="AN36" i="1"/>
  <c r="AM36" i="1"/>
  <c r="AL36" i="1"/>
  <c r="AK36" i="1"/>
  <c r="AI36" i="1"/>
  <c r="AH36" i="1"/>
  <c r="AF36" i="1"/>
  <c r="AE36" i="1"/>
  <c r="AC36" i="1"/>
  <c r="AB36" i="1"/>
  <c r="AA36" i="1"/>
  <c r="Z36" i="1"/>
  <c r="Y36" i="1"/>
  <c r="W36" i="1"/>
  <c r="V36" i="1"/>
  <c r="T36" i="1"/>
  <c r="S36" i="1"/>
  <c r="Q36" i="1"/>
  <c r="P36" i="1"/>
  <c r="O36" i="1"/>
  <c r="N36" i="1"/>
  <c r="M36" i="1"/>
  <c r="K36" i="1"/>
  <c r="J36" i="1"/>
  <c r="B36" i="1"/>
  <c r="A36" i="1"/>
  <c r="BD47" i="1"/>
  <c r="BC47" i="1"/>
  <c r="BA47" i="1"/>
  <c r="AZ47" i="1"/>
  <c r="AY47" i="1"/>
  <c r="AX47" i="1"/>
  <c r="AW47" i="1"/>
  <c r="AU47" i="1"/>
  <c r="AT47" i="1"/>
  <c r="AR47" i="1"/>
  <c r="AQ47" i="1"/>
  <c r="AO47" i="1"/>
  <c r="AN47" i="1"/>
  <c r="AM47" i="1"/>
  <c r="AL47" i="1"/>
  <c r="AK47" i="1"/>
  <c r="AI47" i="1"/>
  <c r="AH47" i="1"/>
  <c r="AF47" i="1"/>
  <c r="AE47" i="1"/>
  <c r="AC47" i="1"/>
  <c r="AB47" i="1"/>
  <c r="AA47" i="1"/>
  <c r="Z47" i="1"/>
  <c r="Y47" i="1"/>
  <c r="W47" i="1"/>
  <c r="V47" i="1"/>
  <c r="T47" i="1"/>
  <c r="S47" i="1"/>
  <c r="Q47" i="1"/>
  <c r="P47" i="1"/>
  <c r="O47" i="1"/>
  <c r="N47" i="1"/>
  <c r="M47" i="1"/>
  <c r="K47" i="1"/>
  <c r="J47" i="1"/>
  <c r="B47" i="1"/>
  <c r="A47" i="1"/>
  <c r="BD56" i="1"/>
  <c r="BC56" i="1"/>
  <c r="BA56" i="1"/>
  <c r="AZ56" i="1"/>
  <c r="AY56" i="1"/>
  <c r="AX56" i="1"/>
  <c r="AW56" i="1"/>
  <c r="AU56" i="1"/>
  <c r="AT56" i="1"/>
  <c r="AR56" i="1"/>
  <c r="AQ56" i="1"/>
  <c r="AO56" i="1"/>
  <c r="AN56" i="1"/>
  <c r="AM56" i="1"/>
  <c r="AL56" i="1"/>
  <c r="AK56" i="1"/>
  <c r="AI56" i="1"/>
  <c r="AH56" i="1"/>
  <c r="AF56" i="1"/>
  <c r="AE56" i="1"/>
  <c r="AC56" i="1"/>
  <c r="AB56" i="1"/>
  <c r="AA56" i="1"/>
  <c r="Z56" i="1"/>
  <c r="Y56" i="1"/>
  <c r="W56" i="1"/>
  <c r="V56" i="1"/>
  <c r="T56" i="1"/>
  <c r="S56" i="1"/>
  <c r="Q56" i="1"/>
  <c r="P56" i="1"/>
  <c r="O56" i="1"/>
  <c r="N56" i="1"/>
  <c r="M56" i="1"/>
  <c r="K56" i="1"/>
  <c r="J56" i="1"/>
  <c r="B56" i="1"/>
  <c r="A56" i="1"/>
  <c r="BD66" i="1"/>
  <c r="BC66" i="1"/>
  <c r="BA66" i="1"/>
  <c r="AZ66" i="1"/>
  <c r="AY66" i="1"/>
  <c r="AX66" i="1"/>
  <c r="AW66" i="1"/>
  <c r="AU66" i="1"/>
  <c r="AT66" i="1"/>
  <c r="AR66" i="1"/>
  <c r="AQ66" i="1"/>
  <c r="AO66" i="1"/>
  <c r="AN66" i="1"/>
  <c r="AM66" i="1"/>
  <c r="AL66" i="1"/>
  <c r="AK66" i="1"/>
  <c r="AI66" i="1"/>
  <c r="AH66" i="1"/>
  <c r="AF66" i="1"/>
  <c r="AE66" i="1"/>
  <c r="AC66" i="1"/>
  <c r="AB66" i="1"/>
  <c r="AA66" i="1"/>
  <c r="Z66" i="1"/>
  <c r="Y66" i="1"/>
  <c r="W66" i="1"/>
  <c r="V66" i="1"/>
  <c r="T66" i="1"/>
  <c r="S66" i="1"/>
  <c r="Q66" i="1"/>
  <c r="P66" i="1"/>
  <c r="O66" i="1"/>
  <c r="N66" i="1"/>
  <c r="M66" i="1"/>
  <c r="K66" i="1"/>
  <c r="J66" i="1"/>
  <c r="B66" i="1"/>
  <c r="A66" i="1"/>
  <c r="BD77" i="1"/>
  <c r="BC77" i="1"/>
  <c r="BA77" i="1"/>
  <c r="AZ77" i="1"/>
  <c r="AY77" i="1"/>
  <c r="AX77" i="1"/>
  <c r="AW77" i="1"/>
  <c r="AU77" i="1"/>
  <c r="AT77" i="1"/>
  <c r="AR77" i="1"/>
  <c r="AQ77" i="1"/>
  <c r="AO77" i="1"/>
  <c r="AN77" i="1"/>
  <c r="AM77" i="1"/>
  <c r="AL77" i="1"/>
  <c r="AK77" i="1"/>
  <c r="AI77" i="1"/>
  <c r="AH77" i="1"/>
  <c r="AF77" i="1"/>
  <c r="AE77" i="1"/>
  <c r="AC77" i="1"/>
  <c r="AB77" i="1"/>
  <c r="AA77" i="1"/>
  <c r="Z77" i="1"/>
  <c r="Y77" i="1"/>
  <c r="W77" i="1"/>
  <c r="V77" i="1"/>
  <c r="T77" i="1"/>
  <c r="S77" i="1"/>
  <c r="Q77" i="1"/>
  <c r="P77" i="1"/>
  <c r="O77" i="1"/>
  <c r="N77" i="1"/>
  <c r="M77" i="1"/>
  <c r="K77" i="1"/>
  <c r="J77" i="1"/>
  <c r="B77" i="1"/>
  <c r="A77" i="1"/>
  <c r="BD88" i="1"/>
  <c r="BC88" i="1"/>
  <c r="BA88" i="1"/>
  <c r="AZ88" i="1"/>
  <c r="AY88" i="1"/>
  <c r="AX88" i="1"/>
  <c r="AW88" i="1"/>
  <c r="AU88" i="1"/>
  <c r="AT88" i="1"/>
  <c r="AR88" i="1"/>
  <c r="AQ88" i="1"/>
  <c r="AO88" i="1"/>
  <c r="AN88" i="1"/>
  <c r="AM88" i="1"/>
  <c r="AL88" i="1"/>
  <c r="AK88" i="1"/>
  <c r="AI88" i="1"/>
  <c r="AH88" i="1"/>
  <c r="AF88" i="1"/>
  <c r="AE88" i="1"/>
  <c r="AC88" i="1"/>
  <c r="AB88" i="1"/>
  <c r="AA88" i="1"/>
  <c r="Z88" i="1"/>
  <c r="Y88" i="1"/>
  <c r="W88" i="1"/>
  <c r="V88" i="1"/>
  <c r="T88" i="1"/>
  <c r="S88" i="1"/>
  <c r="Q88" i="1"/>
  <c r="P88" i="1"/>
  <c r="O88" i="1"/>
  <c r="N88" i="1"/>
  <c r="M88" i="1"/>
  <c r="K88" i="1"/>
  <c r="J88" i="1"/>
  <c r="B88" i="1"/>
  <c r="A88" i="1"/>
  <c r="BD97" i="1"/>
  <c r="BC97" i="1"/>
  <c r="BA97" i="1"/>
  <c r="AZ97" i="1"/>
  <c r="AY97" i="1"/>
  <c r="AX97" i="1"/>
  <c r="AW97" i="1"/>
  <c r="AU97" i="1"/>
  <c r="AT97" i="1"/>
  <c r="AR97" i="1"/>
  <c r="AQ97" i="1"/>
  <c r="AO97" i="1"/>
  <c r="AN97" i="1"/>
  <c r="AM97" i="1"/>
  <c r="AL97" i="1"/>
  <c r="AK97" i="1"/>
  <c r="AI97" i="1"/>
  <c r="AH97" i="1"/>
  <c r="AF97" i="1"/>
  <c r="AE97" i="1"/>
  <c r="AC97" i="1"/>
  <c r="AB97" i="1"/>
  <c r="AA97" i="1"/>
  <c r="Z97" i="1"/>
  <c r="Y97" i="1"/>
  <c r="W97" i="1"/>
  <c r="V97" i="1"/>
  <c r="T97" i="1"/>
  <c r="S97" i="1"/>
  <c r="Q97" i="1"/>
  <c r="P97" i="1"/>
  <c r="O97" i="1"/>
  <c r="N97" i="1"/>
  <c r="M97" i="1"/>
  <c r="K97" i="1"/>
  <c r="J97" i="1"/>
  <c r="B97" i="1"/>
  <c r="A97" i="1"/>
  <c r="BD107" i="1"/>
  <c r="BC107" i="1"/>
  <c r="BA107" i="1"/>
  <c r="AZ107" i="1"/>
  <c r="AY107" i="1"/>
  <c r="AX107" i="1"/>
  <c r="AW107" i="1"/>
  <c r="AU107" i="1"/>
  <c r="AT107" i="1"/>
  <c r="AR107" i="1"/>
  <c r="AQ107" i="1"/>
  <c r="AO107" i="1"/>
  <c r="AN107" i="1"/>
  <c r="AM107" i="1"/>
  <c r="AL107" i="1"/>
  <c r="AK107" i="1"/>
  <c r="AI107" i="1"/>
  <c r="AH107" i="1"/>
  <c r="AF107" i="1"/>
  <c r="AE107" i="1"/>
  <c r="AC107" i="1"/>
  <c r="AB107" i="1"/>
  <c r="AA107" i="1"/>
  <c r="Z107" i="1"/>
  <c r="Y107" i="1"/>
  <c r="W107" i="1"/>
  <c r="V107" i="1"/>
  <c r="T107" i="1"/>
  <c r="S107" i="1"/>
  <c r="Q107" i="1"/>
  <c r="P107" i="1"/>
  <c r="O107" i="1"/>
  <c r="N107" i="1"/>
  <c r="M107" i="1"/>
  <c r="K107" i="1"/>
  <c r="J107" i="1"/>
  <c r="B107" i="1"/>
  <c r="A107" i="1"/>
  <c r="BD117" i="1"/>
  <c r="BC117" i="1"/>
  <c r="BA117" i="1"/>
  <c r="AZ117" i="1"/>
  <c r="AY117" i="1"/>
  <c r="AX117" i="1"/>
  <c r="AW117" i="1"/>
  <c r="AU117" i="1"/>
  <c r="AT117" i="1"/>
  <c r="AR117" i="1"/>
  <c r="AQ117" i="1"/>
  <c r="AO117" i="1"/>
  <c r="AN117" i="1"/>
  <c r="AM117" i="1"/>
  <c r="AL117" i="1"/>
  <c r="AK117" i="1"/>
  <c r="AI117" i="1"/>
  <c r="AH117" i="1"/>
  <c r="AF117" i="1"/>
  <c r="AE117" i="1"/>
  <c r="AC117" i="1"/>
  <c r="AB117" i="1"/>
  <c r="AA117" i="1"/>
  <c r="Z117" i="1"/>
  <c r="Y117" i="1"/>
  <c r="W117" i="1"/>
  <c r="V117" i="1"/>
  <c r="T117" i="1"/>
  <c r="S117" i="1"/>
  <c r="Q117" i="1"/>
  <c r="P117" i="1"/>
  <c r="O117" i="1"/>
  <c r="N117" i="1"/>
  <c r="M117" i="1"/>
  <c r="K117" i="1"/>
  <c r="J117" i="1"/>
  <c r="B117" i="1"/>
  <c r="A117" i="1"/>
  <c r="BD126" i="1"/>
  <c r="BC126" i="1"/>
  <c r="BA126" i="1"/>
  <c r="AZ126" i="1"/>
  <c r="AY126" i="1"/>
  <c r="AX126" i="1"/>
  <c r="AW126" i="1"/>
  <c r="AU126" i="1"/>
  <c r="AT126" i="1"/>
  <c r="AR126" i="1"/>
  <c r="AQ126" i="1"/>
  <c r="AO126" i="1"/>
  <c r="AN126" i="1"/>
  <c r="AM126" i="1"/>
  <c r="AL126" i="1"/>
  <c r="AK126" i="1"/>
  <c r="AI126" i="1"/>
  <c r="AH126" i="1"/>
  <c r="AF126" i="1"/>
  <c r="AE126" i="1"/>
  <c r="AC126" i="1"/>
  <c r="AB126" i="1"/>
  <c r="AA126" i="1"/>
  <c r="Z126" i="1"/>
  <c r="Y126" i="1"/>
  <c r="W126" i="1"/>
  <c r="V126" i="1"/>
  <c r="T126" i="1"/>
  <c r="S126" i="1"/>
  <c r="Q126" i="1"/>
  <c r="P126" i="1"/>
  <c r="O126" i="1"/>
  <c r="N126" i="1"/>
  <c r="M126" i="1"/>
  <c r="K126" i="1"/>
  <c r="J126" i="1"/>
  <c r="B126" i="1"/>
  <c r="A126" i="1"/>
  <c r="BD136" i="1"/>
  <c r="BC136" i="1"/>
  <c r="BA136" i="1"/>
  <c r="AZ136" i="1"/>
  <c r="AY136" i="1"/>
  <c r="AX136" i="1"/>
  <c r="AW136" i="1"/>
  <c r="AU136" i="1"/>
  <c r="AT136" i="1"/>
  <c r="AR136" i="1"/>
  <c r="AQ136" i="1"/>
  <c r="AO136" i="1"/>
  <c r="AN136" i="1"/>
  <c r="AM136" i="1"/>
  <c r="AL136" i="1"/>
  <c r="AK136" i="1"/>
  <c r="AI136" i="1"/>
  <c r="AH136" i="1"/>
  <c r="AF136" i="1"/>
  <c r="AE136" i="1"/>
  <c r="AC136" i="1"/>
  <c r="AB136" i="1"/>
  <c r="AA136" i="1"/>
  <c r="Z136" i="1"/>
  <c r="Y136" i="1"/>
  <c r="W136" i="1"/>
  <c r="V136" i="1"/>
  <c r="T136" i="1"/>
  <c r="S136" i="1"/>
  <c r="Q136" i="1"/>
  <c r="P136" i="1"/>
  <c r="O136" i="1"/>
  <c r="N136" i="1"/>
  <c r="M136" i="1"/>
  <c r="K136" i="1"/>
  <c r="J136" i="1"/>
  <c r="B136" i="1"/>
  <c r="A136" i="1"/>
  <c r="BD146" i="1"/>
  <c r="BC146" i="1"/>
  <c r="BA146" i="1"/>
  <c r="AZ146" i="1"/>
  <c r="AY146" i="1"/>
  <c r="AX146" i="1"/>
  <c r="AW146" i="1"/>
  <c r="AU146" i="1"/>
  <c r="AT146" i="1"/>
  <c r="AR146" i="1"/>
  <c r="AQ146" i="1"/>
  <c r="AO146" i="1"/>
  <c r="AN146" i="1"/>
  <c r="AM146" i="1"/>
  <c r="AL146" i="1"/>
  <c r="AK146" i="1"/>
  <c r="AI146" i="1"/>
  <c r="AH146" i="1"/>
  <c r="AF146" i="1"/>
  <c r="AE146" i="1"/>
  <c r="AC146" i="1"/>
  <c r="AB146" i="1"/>
  <c r="AA146" i="1"/>
  <c r="Z146" i="1"/>
  <c r="Y146" i="1"/>
  <c r="W146" i="1"/>
  <c r="V146" i="1"/>
  <c r="T146" i="1"/>
  <c r="S146" i="1"/>
  <c r="Q146" i="1"/>
  <c r="P146" i="1"/>
  <c r="O146" i="1"/>
  <c r="N146" i="1"/>
  <c r="M146" i="1"/>
  <c r="K146" i="1"/>
  <c r="J146" i="1"/>
  <c r="B146" i="1"/>
  <c r="A146" i="1"/>
  <c r="BD155" i="1"/>
  <c r="BC155" i="1"/>
  <c r="BA155" i="1"/>
  <c r="AZ155" i="1"/>
  <c r="AY155" i="1"/>
  <c r="AX155" i="1"/>
  <c r="AW155" i="1"/>
  <c r="AU155" i="1"/>
  <c r="AT155" i="1"/>
  <c r="AR155" i="1"/>
  <c r="AQ155" i="1"/>
  <c r="AO155" i="1"/>
  <c r="AN155" i="1"/>
  <c r="AM155" i="1"/>
  <c r="AL155" i="1"/>
  <c r="AK155" i="1"/>
  <c r="AI155" i="1"/>
  <c r="AH155" i="1"/>
  <c r="AF155" i="1"/>
  <c r="AE155" i="1"/>
  <c r="AC155" i="1"/>
  <c r="AB155" i="1"/>
  <c r="AA155" i="1"/>
  <c r="Z155" i="1"/>
  <c r="Y155" i="1"/>
  <c r="W155" i="1"/>
  <c r="V155" i="1"/>
  <c r="T155" i="1"/>
  <c r="S155" i="1"/>
  <c r="Q155" i="1"/>
  <c r="P155" i="1"/>
  <c r="O155" i="1"/>
  <c r="N155" i="1"/>
  <c r="M155" i="1"/>
  <c r="K155" i="1"/>
  <c r="J155" i="1"/>
  <c r="B155" i="1"/>
  <c r="A155" i="1"/>
  <c r="BD164" i="1"/>
  <c r="BC164" i="1"/>
  <c r="BA164" i="1"/>
  <c r="AZ164" i="1"/>
  <c r="AY164" i="1"/>
  <c r="AX164" i="1"/>
  <c r="AW164" i="1"/>
  <c r="AU164" i="1"/>
  <c r="AT164" i="1"/>
  <c r="AR164" i="1"/>
  <c r="AR203" i="1" s="1"/>
  <c r="AR206" i="1" s="1"/>
  <c r="AQ164" i="1"/>
  <c r="AO164" i="1"/>
  <c r="AO203" i="1" s="1"/>
  <c r="AN164" i="1"/>
  <c r="AN203" i="1" s="1"/>
  <c r="AM164" i="1"/>
  <c r="AM203" i="1" s="1"/>
  <c r="AL164" i="1"/>
  <c r="AK164" i="1"/>
  <c r="AI164" i="1"/>
  <c r="AH164" i="1"/>
  <c r="AF164" i="1"/>
  <c r="AE164" i="1"/>
  <c r="AC164" i="1"/>
  <c r="AB164" i="1"/>
  <c r="AA164" i="1"/>
  <c r="Z164" i="1"/>
  <c r="Y164" i="1"/>
  <c r="W164" i="1"/>
  <c r="V164" i="1"/>
  <c r="T164" i="1"/>
  <c r="S164" i="1"/>
  <c r="Q164" i="1"/>
  <c r="P164" i="1"/>
  <c r="O164" i="1"/>
  <c r="N164" i="1"/>
  <c r="M164" i="1"/>
  <c r="K164" i="1"/>
  <c r="J164" i="1"/>
  <c r="B164" i="1"/>
  <c r="A164" i="1"/>
  <c r="BD175" i="1"/>
  <c r="BC175" i="1"/>
  <c r="BA175" i="1"/>
  <c r="AZ175" i="1"/>
  <c r="AY175" i="1"/>
  <c r="AX175" i="1"/>
  <c r="AW175" i="1"/>
  <c r="AU175" i="1"/>
  <c r="AT175" i="1"/>
  <c r="AR175" i="1"/>
  <c r="AQ175" i="1"/>
  <c r="AO175" i="1"/>
  <c r="AN175" i="1"/>
  <c r="AM175" i="1"/>
  <c r="AL175" i="1"/>
  <c r="AK175" i="1"/>
  <c r="AI175" i="1"/>
  <c r="AH175" i="1"/>
  <c r="AF175" i="1"/>
  <c r="AE175" i="1"/>
  <c r="AC175" i="1"/>
  <c r="AB175" i="1"/>
  <c r="AA175" i="1"/>
  <c r="Z175" i="1"/>
  <c r="Y175" i="1"/>
  <c r="W175" i="1"/>
  <c r="V175" i="1"/>
  <c r="T175" i="1"/>
  <c r="S175" i="1"/>
  <c r="Q175" i="1"/>
  <c r="P175" i="1"/>
  <c r="O175" i="1"/>
  <c r="N175" i="1"/>
  <c r="M175" i="1"/>
  <c r="K175" i="1"/>
  <c r="J175" i="1"/>
  <c r="B175" i="1"/>
  <c r="A175" i="1"/>
  <c r="BD185" i="1"/>
  <c r="BC185" i="1"/>
  <c r="BA185" i="1"/>
  <c r="AZ185" i="1"/>
  <c r="AY185" i="1"/>
  <c r="AX185" i="1"/>
  <c r="AW185" i="1"/>
  <c r="AU185" i="1"/>
  <c r="AT185" i="1"/>
  <c r="AR185" i="1"/>
  <c r="AQ185" i="1"/>
  <c r="AO185" i="1"/>
  <c r="AN185" i="1"/>
  <c r="AM185" i="1"/>
  <c r="AL185" i="1"/>
  <c r="AK185" i="1"/>
  <c r="AK203" i="1" s="1"/>
  <c r="AI185" i="1"/>
  <c r="AI203" i="1" s="1"/>
  <c r="AH185" i="1"/>
  <c r="AF185" i="1"/>
  <c r="AE185" i="1"/>
  <c r="AC185" i="1"/>
  <c r="AB185" i="1"/>
  <c r="AA185" i="1"/>
  <c r="Z185" i="1"/>
  <c r="Y185" i="1"/>
  <c r="W185" i="1"/>
  <c r="V185" i="1"/>
  <c r="T185" i="1"/>
  <c r="S185" i="1"/>
  <c r="Q185" i="1"/>
  <c r="P185" i="1"/>
  <c r="O185" i="1"/>
  <c r="N185" i="1"/>
  <c r="M185" i="1"/>
  <c r="K185" i="1"/>
  <c r="J185" i="1"/>
  <c r="B185" i="1"/>
  <c r="A185" i="1"/>
  <c r="BD195" i="1"/>
  <c r="BC195" i="1"/>
  <c r="BA195" i="1"/>
  <c r="BA203" i="1" s="1"/>
  <c r="AZ195" i="1"/>
  <c r="AY195" i="1"/>
  <c r="AX195" i="1"/>
  <c r="AW195" i="1"/>
  <c r="AU195" i="1"/>
  <c r="AT195" i="1"/>
  <c r="AR195" i="1"/>
  <c r="AQ195" i="1"/>
  <c r="AO195" i="1"/>
  <c r="AN195" i="1"/>
  <c r="AM195" i="1"/>
  <c r="AL195" i="1"/>
  <c r="AK195" i="1"/>
  <c r="AI195" i="1"/>
  <c r="AH195" i="1"/>
  <c r="AF195" i="1"/>
  <c r="AE195" i="1"/>
  <c r="AC195" i="1"/>
  <c r="AB195" i="1"/>
  <c r="AA195" i="1"/>
  <c r="Z195" i="1"/>
  <c r="Y195" i="1"/>
  <c r="W195" i="1"/>
  <c r="V195" i="1"/>
  <c r="T195" i="1"/>
  <c r="S195" i="1"/>
  <c r="Q195" i="1"/>
  <c r="P195" i="1"/>
  <c r="O195" i="1"/>
  <c r="N195" i="1"/>
  <c r="M195" i="1"/>
  <c r="K195" i="1"/>
  <c r="J195" i="1"/>
  <c r="B195" i="1"/>
  <c r="A195" i="1"/>
  <c r="BC203" i="1" l="1"/>
  <c r="AW203" i="1"/>
  <c r="AU203" i="1"/>
  <c r="AY203" i="1"/>
  <c r="AT203" i="1"/>
  <c r="BA205" i="1" s="1"/>
  <c r="AX203" i="1"/>
  <c r="AX206" i="1" s="1"/>
  <c r="AZ203" i="1"/>
  <c r="BD203" i="1"/>
  <c r="BD206" i="1" s="1"/>
  <c r="BA206" i="1"/>
  <c r="AH203" i="1"/>
  <c r="AO205" i="1" s="1"/>
  <c r="AO206" i="1"/>
  <c r="AR205" i="1"/>
  <c r="AF205" i="1"/>
  <c r="AC205" i="1"/>
  <c r="BD205" i="1" l="1"/>
  <c r="AX205" i="1"/>
  <c r="AL205" i="1"/>
</calcChain>
</file>

<file path=xl/sharedStrings.xml><?xml version="1.0" encoding="utf-8"?>
<sst xmlns="http://schemas.openxmlformats.org/spreadsheetml/2006/main" count="1300" uniqueCount="9">
  <si>
    <t/>
  </si>
  <si>
    <t>Circular ord</t>
  </si>
  <si>
    <t>Hybrid</t>
  </si>
  <si>
    <t>Network</t>
  </si>
  <si>
    <t>Blob size</t>
  </si>
  <si>
    <t>TS</t>
  </si>
  <si>
    <t>BP</t>
  </si>
  <si>
    <t>TS vs True Tob</t>
  </si>
  <si>
    <t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</si>
</sst>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D206"/>
  <sheetViews>
    <sheetView tabSelected="1" topLeftCell="AH175" workbookViewId="0">
      <selection activeCell="AS212" sqref="AS212"/>
    </sheetView>
  </sheetViews>
  <sheetFormatPr baseColWidth="10" defaultRowHeight="15" x14ac:dyDescent="0.2"/>
  <sheetData>
    <row r="4" spans="1:56" x14ac:dyDescent="0.2">
      <c r="A4">
        <f>COUNT(A6:A10)</f>
        <v>4</v>
      </c>
      <c r="B4">
        <f>COUNTIF(B6:B10,"&gt;4")</f>
        <v>1</v>
      </c>
      <c r="D4" t="s">
        <v>0</v>
      </c>
      <c r="E4" t="s">
        <v>1</v>
      </c>
      <c r="F4" t="s">
        <v>0</v>
      </c>
      <c r="G4" t="s">
        <v>2</v>
      </c>
      <c r="H4" t="s">
        <v>0</v>
      </c>
      <c r="I4" t="s">
        <v>0</v>
      </c>
      <c r="J4">
        <f>COUNT(J6:J10)</f>
        <v>5</v>
      </c>
      <c r="K4">
        <f>COUNTIF(K6:K10,"&gt;4")</f>
        <v>1</v>
      </c>
      <c r="M4">
        <f>COUNTIF(M6:M10,1)</f>
        <v>0</v>
      </c>
      <c r="N4">
        <f>COUNTIF(N6:N10,1)</f>
        <v>4</v>
      </c>
      <c r="O4">
        <f>COUNTIF(O6:O10,"&gt;0")</f>
        <v>5</v>
      </c>
      <c r="P4">
        <f>COUNTIF(P6:P10,1)</f>
        <v>0</v>
      </c>
      <c r="Q4">
        <f>COUNTIF(Q6:Q10,1)</f>
        <v>4</v>
      </c>
      <c r="S4">
        <f>COUNTIF(S6:S10,1)</f>
        <v>0</v>
      </c>
      <c r="T4">
        <f>COUNTIFS(T6:T10,1,K6:K10,"&gt;4")</f>
        <v>1</v>
      </c>
      <c r="U4" t="s">
        <v>0</v>
      </c>
      <c r="V4">
        <f>COUNT(V6:V10)</f>
        <v>4</v>
      </c>
      <c r="W4">
        <f>COUNTIF(W6:W10,"&gt;4")</f>
        <v>1</v>
      </c>
      <c r="Y4">
        <f>COUNTIF(Y6:Y10,1)</f>
        <v>0</v>
      </c>
      <c r="Z4">
        <f>COUNTIF(Z6:Z10,1)</f>
        <v>4</v>
      </c>
      <c r="AA4">
        <f>COUNTIF(AA6:AA10,"&gt;0")</f>
        <v>4</v>
      </c>
      <c r="AB4">
        <f>COUNTIF(AB6:AB10,1)</f>
        <v>0</v>
      </c>
      <c r="AC4">
        <f>COUNTIF(AC6:AC10,1)</f>
        <v>4</v>
      </c>
      <c r="AE4">
        <f>COUNTIF(AE6:AE10,1)</f>
        <v>0</v>
      </c>
      <c r="AF4">
        <f>COUNTIFS(AF6:AF10,1,W6:W10,"&gt;4")</f>
        <v>1</v>
      </c>
      <c r="AG4" t="s">
        <v>0</v>
      </c>
      <c r="AH4">
        <f>COUNT(AH6:AH10)</f>
        <v>3</v>
      </c>
      <c r="AI4">
        <f>COUNTIF(AI6:AI10,"&gt;4")</f>
        <v>0</v>
      </c>
      <c r="AK4">
        <f>COUNTIF(AK6:AK10,1)</f>
        <v>0</v>
      </c>
      <c r="AL4">
        <f>COUNTIF(AL6:AL10,1)</f>
        <v>3</v>
      </c>
      <c r="AM4">
        <f>COUNTIF(AM6:AM10,"&gt;0")</f>
        <v>3</v>
      </c>
      <c r="AN4">
        <f>COUNTIF(AN6:AN10,1)</f>
        <v>0</v>
      </c>
      <c r="AO4">
        <f>COUNTIF(AO6:AO10,1)</f>
        <v>3</v>
      </c>
      <c r="AQ4">
        <f>COUNTIF(AQ6:AQ10,1)</f>
        <v>0</v>
      </c>
      <c r="AR4">
        <f>COUNTIFS(AR6:AR10,1,AI6:AI10,"&gt;4")</f>
        <v>0</v>
      </c>
      <c r="AS4" t="s">
        <v>0</v>
      </c>
      <c r="AT4">
        <f>COUNT(AT6:AT10)</f>
        <v>2</v>
      </c>
      <c r="AU4">
        <f>COUNTIF(AU6:AU10,"&gt;4")</f>
        <v>1</v>
      </c>
      <c r="AW4">
        <f>COUNTIF(AW6:AW10,1)</f>
        <v>0</v>
      </c>
      <c r="AX4">
        <f>COUNTIF(AX6:AX10,1)</f>
        <v>2</v>
      </c>
      <c r="AY4">
        <f>COUNTIF(AY6:AY10,"&gt;0")</f>
        <v>2</v>
      </c>
      <c r="AZ4">
        <f>COUNTIF(AZ6:AZ10,1)</f>
        <v>0</v>
      </c>
      <c r="BA4">
        <f>COUNTIF(BA6:BA10,1)</f>
        <v>2</v>
      </c>
      <c r="BC4">
        <f>COUNTIF(BC6:BC10,1)</f>
        <v>0</v>
      </c>
      <c r="BD4">
        <f>COUNTIFS(BD6:BD10,1,AU6:AU10,"&gt;4")</f>
        <v>1</v>
      </c>
    </row>
    <row r="5" spans="1:56" x14ac:dyDescent="0.2">
      <c r="A5" t="s">
        <v>3</v>
      </c>
      <c r="B5" t="s">
        <v>4</v>
      </c>
      <c r="C5" t="s">
        <v>5</v>
      </c>
      <c r="D5" t="s">
        <v>6</v>
      </c>
      <c r="E5" t="s">
        <v>5</v>
      </c>
      <c r="F5" t="s">
        <v>6</v>
      </c>
      <c r="G5" t="s">
        <v>5</v>
      </c>
      <c r="H5" t="s">
        <v>6</v>
      </c>
      <c r="I5" t="s">
        <v>0</v>
      </c>
      <c r="J5" t="s">
        <v>3</v>
      </c>
      <c r="K5" t="s">
        <v>4</v>
      </c>
      <c r="L5" t="s">
        <v>5</v>
      </c>
      <c r="M5" t="s">
        <v>6</v>
      </c>
      <c r="N5" t="s">
        <v>7</v>
      </c>
      <c r="O5" t="s">
        <v>5</v>
      </c>
      <c r="P5" t="s">
        <v>6</v>
      </c>
      <c r="Q5" t="s">
        <v>8</v>
      </c>
      <c r="R5" t="s">
        <v>5</v>
      </c>
      <c r="S5" t="s">
        <v>6</v>
      </c>
      <c r="T5" t="s">
        <v>7</v>
      </c>
      <c r="U5" t="s">
        <v>0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5</v>
      </c>
      <c r="AB5" t="s">
        <v>6</v>
      </c>
      <c r="AC5" t="s">
        <v>7</v>
      </c>
      <c r="AD5" t="s">
        <v>5</v>
      </c>
      <c r="AE5" t="s">
        <v>6</v>
      </c>
      <c r="AF5" t="s">
        <v>7</v>
      </c>
      <c r="AG5" t="s">
        <v>0</v>
      </c>
      <c r="AH5" t="s">
        <v>3</v>
      </c>
      <c r="AI5" t="s">
        <v>4</v>
      </c>
      <c r="AJ5" t="s">
        <v>5</v>
      </c>
      <c r="AK5" t="s">
        <v>6</v>
      </c>
      <c r="AL5" t="s">
        <v>7</v>
      </c>
      <c r="AM5" t="s">
        <v>5</v>
      </c>
      <c r="AN5" t="s">
        <v>6</v>
      </c>
      <c r="AO5" t="s">
        <v>7</v>
      </c>
      <c r="AP5" t="s">
        <v>5</v>
      </c>
      <c r="AQ5" t="s">
        <v>6</v>
      </c>
      <c r="AR5" t="s">
        <v>7</v>
      </c>
      <c r="AS5" t="s">
        <v>0</v>
      </c>
      <c r="AT5" t="s">
        <v>3</v>
      </c>
      <c r="AU5" t="s">
        <v>4</v>
      </c>
      <c r="AV5" t="s">
        <v>5</v>
      </c>
      <c r="AW5" t="s">
        <v>6</v>
      </c>
      <c r="AX5" t="s">
        <v>7</v>
      </c>
      <c r="AY5" t="s">
        <v>5</v>
      </c>
      <c r="AZ5" t="s">
        <v>6</v>
      </c>
      <c r="BA5" t="s">
        <v>7</v>
      </c>
      <c r="BB5" t="s">
        <v>5</v>
      </c>
      <c r="BC5" t="s">
        <v>6</v>
      </c>
      <c r="BD5" t="s">
        <v>7</v>
      </c>
    </row>
    <row r="6" spans="1:56" x14ac:dyDescent="0.2">
      <c r="A6">
        <v>1</v>
      </c>
      <c r="B6">
        <v>4</v>
      </c>
      <c r="C6">
        <v>0.98399999999999999</v>
      </c>
      <c r="D6">
        <v>0.95</v>
      </c>
      <c r="E6">
        <v>0.98399999999999999</v>
      </c>
      <c r="F6">
        <v>0.95</v>
      </c>
      <c r="G6">
        <v>2E-3</v>
      </c>
      <c r="H6">
        <v>0</v>
      </c>
      <c r="J6">
        <v>1</v>
      </c>
      <c r="K6">
        <v>4</v>
      </c>
      <c r="L6">
        <v>0.98399999999999999</v>
      </c>
      <c r="M6">
        <v>0.95</v>
      </c>
      <c r="N6">
        <v>1</v>
      </c>
      <c r="O6">
        <v>0.98399999999999999</v>
      </c>
      <c r="P6">
        <v>0.95</v>
      </c>
      <c r="Q6">
        <v>1</v>
      </c>
      <c r="R6">
        <v>0.94</v>
      </c>
      <c r="S6">
        <v>0.94</v>
      </c>
      <c r="T6">
        <v>0</v>
      </c>
      <c r="V6">
        <v>1</v>
      </c>
      <c r="W6">
        <v>4</v>
      </c>
      <c r="X6">
        <v>0.98399999999999999</v>
      </c>
      <c r="Y6">
        <v>0.95</v>
      </c>
      <c r="Z6">
        <v>1</v>
      </c>
      <c r="AA6">
        <v>0.98399999999999999</v>
      </c>
      <c r="AB6">
        <v>0.95</v>
      </c>
      <c r="AC6">
        <v>1</v>
      </c>
      <c r="AD6">
        <v>0.94</v>
      </c>
      <c r="AE6">
        <v>0.94</v>
      </c>
      <c r="AF6">
        <v>0</v>
      </c>
      <c r="AH6">
        <v>1</v>
      </c>
      <c r="AI6">
        <v>4</v>
      </c>
      <c r="AJ6">
        <v>0.98399999999999999</v>
      </c>
      <c r="AK6">
        <v>0.95</v>
      </c>
      <c r="AL6">
        <v>1</v>
      </c>
      <c r="AM6">
        <v>0.98399999999999999</v>
      </c>
      <c r="AN6">
        <v>0.95</v>
      </c>
      <c r="AO6">
        <v>1</v>
      </c>
      <c r="AP6">
        <v>0.94</v>
      </c>
      <c r="AQ6">
        <v>0.94</v>
      </c>
      <c r="AR6">
        <v>0</v>
      </c>
      <c r="AT6">
        <v>1</v>
      </c>
      <c r="AU6">
        <v>4</v>
      </c>
      <c r="AV6">
        <v>0.98399999999999999</v>
      </c>
      <c r="AW6">
        <v>0.95</v>
      </c>
      <c r="AX6">
        <v>1</v>
      </c>
      <c r="AY6">
        <v>0.98399999999999999</v>
      </c>
      <c r="AZ6">
        <v>0.95</v>
      </c>
      <c r="BA6">
        <v>1</v>
      </c>
      <c r="BB6">
        <v>0.94</v>
      </c>
      <c r="BC6">
        <v>0.94</v>
      </c>
      <c r="BD6">
        <v>0</v>
      </c>
    </row>
    <row r="7" spans="1:56" x14ac:dyDescent="0.2">
      <c r="A7">
        <v>2</v>
      </c>
      <c r="B7">
        <v>4</v>
      </c>
      <c r="C7">
        <v>0.94399999999999995</v>
      </c>
      <c r="D7">
        <v>0.84</v>
      </c>
      <c r="E7">
        <v>0.94399999999999995</v>
      </c>
      <c r="F7">
        <v>0.84</v>
      </c>
      <c r="G7">
        <v>0.32800000000000001</v>
      </c>
      <c r="H7">
        <v>0</v>
      </c>
      <c r="J7">
        <v>2</v>
      </c>
      <c r="K7">
        <v>4</v>
      </c>
      <c r="L7">
        <v>0.94399999999999995</v>
      </c>
      <c r="M7">
        <v>0.84</v>
      </c>
      <c r="N7">
        <v>1</v>
      </c>
      <c r="O7">
        <v>0.94399999999999995</v>
      </c>
      <c r="P7">
        <v>0.84</v>
      </c>
      <c r="Q7">
        <v>1</v>
      </c>
      <c r="R7">
        <v>0.84399999999999997</v>
      </c>
      <c r="S7">
        <v>0.84</v>
      </c>
      <c r="T7">
        <v>0</v>
      </c>
      <c r="V7">
        <v>2</v>
      </c>
      <c r="W7">
        <v>4</v>
      </c>
      <c r="X7">
        <v>0.94399999999999995</v>
      </c>
      <c r="Y7">
        <v>0.84</v>
      </c>
      <c r="Z7">
        <v>1</v>
      </c>
      <c r="AA7">
        <v>0.94399999999999995</v>
      </c>
      <c r="AB7">
        <v>0.84</v>
      </c>
      <c r="AC7">
        <v>1</v>
      </c>
      <c r="AD7">
        <v>0.84399999999999997</v>
      </c>
      <c r="AE7">
        <v>0.84</v>
      </c>
      <c r="AF7">
        <v>0</v>
      </c>
      <c r="AH7">
        <v>2</v>
      </c>
      <c r="AI7">
        <v>4</v>
      </c>
      <c r="AJ7">
        <v>0.94399999999999995</v>
      </c>
      <c r="AK7">
        <v>0.84</v>
      </c>
      <c r="AL7">
        <v>1</v>
      </c>
      <c r="AM7">
        <v>0.94399999999999995</v>
      </c>
      <c r="AN7">
        <v>0.84</v>
      </c>
      <c r="AO7">
        <v>1</v>
      </c>
      <c r="AP7">
        <v>0.84399999999999997</v>
      </c>
      <c r="AQ7">
        <v>0.84</v>
      </c>
      <c r="AR7">
        <v>0</v>
      </c>
      <c r="AT7">
        <v>2</v>
      </c>
      <c r="AU7">
        <v>5</v>
      </c>
      <c r="AV7">
        <v>0.98</v>
      </c>
      <c r="AW7">
        <v>0.6</v>
      </c>
      <c r="AX7">
        <v>1</v>
      </c>
      <c r="AY7">
        <v>0.98</v>
      </c>
      <c r="AZ7">
        <v>0.6</v>
      </c>
      <c r="BA7">
        <v>1</v>
      </c>
      <c r="BB7">
        <v>0.61</v>
      </c>
      <c r="BC7">
        <v>0.61</v>
      </c>
      <c r="BD7">
        <v>1</v>
      </c>
    </row>
    <row r="8" spans="1:56" x14ac:dyDescent="0.2">
      <c r="A8">
        <v>3</v>
      </c>
      <c r="B8">
        <v>4</v>
      </c>
      <c r="C8">
        <v>0.98899999999999999</v>
      </c>
      <c r="D8">
        <v>0.95</v>
      </c>
      <c r="E8">
        <v>0.98899999999999999</v>
      </c>
      <c r="F8">
        <v>0.95</v>
      </c>
      <c r="G8">
        <v>6.5000000000000002E-2</v>
      </c>
      <c r="H8">
        <v>0.06</v>
      </c>
      <c r="J8">
        <v>3</v>
      </c>
      <c r="K8">
        <v>4</v>
      </c>
      <c r="L8">
        <v>0.98899999999999999</v>
      </c>
      <c r="M8">
        <v>0.95</v>
      </c>
      <c r="N8">
        <v>1</v>
      </c>
      <c r="O8">
        <v>0.98899999999999999</v>
      </c>
      <c r="P8">
        <v>0.95</v>
      </c>
      <c r="Q8">
        <v>1</v>
      </c>
      <c r="R8">
        <v>0.85299999999999998</v>
      </c>
      <c r="S8">
        <v>0.85</v>
      </c>
      <c r="T8">
        <v>0</v>
      </c>
      <c r="V8">
        <v>3</v>
      </c>
      <c r="W8">
        <v>4</v>
      </c>
      <c r="X8">
        <v>0.98899999999999999</v>
      </c>
      <c r="Y8">
        <v>0.95</v>
      </c>
      <c r="Z8">
        <v>1</v>
      </c>
      <c r="AA8">
        <v>0.98899999999999999</v>
      </c>
      <c r="AB8">
        <v>0.95</v>
      </c>
      <c r="AC8">
        <v>1</v>
      </c>
      <c r="AD8">
        <v>0.85299999999999998</v>
      </c>
      <c r="AE8">
        <v>0.85</v>
      </c>
      <c r="AF8">
        <v>0</v>
      </c>
      <c r="AH8">
        <v>3</v>
      </c>
      <c r="AI8">
        <v>4</v>
      </c>
      <c r="AJ8">
        <v>0.98899999999999999</v>
      </c>
      <c r="AK8">
        <v>0.95</v>
      </c>
      <c r="AL8">
        <v>1</v>
      </c>
      <c r="AM8">
        <v>0.98899999999999999</v>
      </c>
      <c r="AN8">
        <v>0.95</v>
      </c>
      <c r="AO8">
        <v>1</v>
      </c>
      <c r="AP8">
        <v>0.85299999999999998</v>
      </c>
      <c r="AQ8">
        <v>0.85</v>
      </c>
      <c r="AR8">
        <v>0</v>
      </c>
    </row>
    <row r="9" spans="1:56" x14ac:dyDescent="0.2">
      <c r="A9">
        <v>4</v>
      </c>
      <c r="B9">
        <v>5</v>
      </c>
      <c r="C9">
        <v>0.98</v>
      </c>
      <c r="D9">
        <v>0.6</v>
      </c>
      <c r="E9">
        <v>0.98</v>
      </c>
      <c r="F9">
        <v>0.6</v>
      </c>
      <c r="G9">
        <v>0.61</v>
      </c>
      <c r="H9">
        <v>0.61</v>
      </c>
      <c r="J9">
        <v>4</v>
      </c>
      <c r="K9">
        <v>4</v>
      </c>
      <c r="L9">
        <v>0.85099999999999998</v>
      </c>
      <c r="M9">
        <v>0.35</v>
      </c>
      <c r="N9">
        <v>0.76200000000000001</v>
      </c>
      <c r="O9">
        <v>0.85099999999999998</v>
      </c>
      <c r="P9">
        <v>0.35</v>
      </c>
      <c r="Q9">
        <v>0.76200000000000001</v>
      </c>
      <c r="R9">
        <v>0.33100000000000002</v>
      </c>
      <c r="S9">
        <v>0.31</v>
      </c>
      <c r="T9">
        <v>0.28599999999999998</v>
      </c>
      <c r="V9">
        <v>4</v>
      </c>
      <c r="W9">
        <v>5</v>
      </c>
      <c r="X9">
        <v>0.98</v>
      </c>
      <c r="Y9">
        <v>0.6</v>
      </c>
      <c r="Z9">
        <v>1</v>
      </c>
      <c r="AA9">
        <v>0.98</v>
      </c>
      <c r="AB9">
        <v>0.6</v>
      </c>
      <c r="AC9">
        <v>1</v>
      </c>
      <c r="AD9">
        <v>0.61</v>
      </c>
      <c r="AE9">
        <v>0.61</v>
      </c>
      <c r="AF9">
        <v>1</v>
      </c>
    </row>
    <row r="10" spans="1:56" x14ac:dyDescent="0.2">
      <c r="J10">
        <v>5</v>
      </c>
      <c r="K10">
        <v>5</v>
      </c>
      <c r="L10">
        <v>0.98</v>
      </c>
      <c r="M10">
        <v>0.6</v>
      </c>
      <c r="N10">
        <v>1</v>
      </c>
      <c r="O10">
        <v>0.98</v>
      </c>
      <c r="P10">
        <v>0.6</v>
      </c>
      <c r="Q10">
        <v>1</v>
      </c>
      <c r="R10">
        <v>0.61</v>
      </c>
      <c r="S10">
        <v>0.61</v>
      </c>
      <c r="T10">
        <v>1</v>
      </c>
    </row>
    <row r="15" spans="1:56" x14ac:dyDescent="0.2">
      <c r="A15">
        <f>COUNT(A17:A21)</f>
        <v>4</v>
      </c>
      <c r="B15">
        <f>COUNTIF(B17:B21,"&gt;4")</f>
        <v>2</v>
      </c>
      <c r="D15" t="s">
        <v>0</v>
      </c>
      <c r="E15" t="s">
        <v>1</v>
      </c>
      <c r="F15" t="s">
        <v>0</v>
      </c>
      <c r="G15" t="s">
        <v>2</v>
      </c>
      <c r="H15" t="s">
        <v>0</v>
      </c>
      <c r="I15" t="s">
        <v>0</v>
      </c>
      <c r="J15">
        <f>COUNT(J17:J21)</f>
        <v>4</v>
      </c>
      <c r="K15">
        <f>COUNTIF(K17:K21,"&gt;4")</f>
        <v>0</v>
      </c>
      <c r="M15">
        <f>COUNTIF(M17:M21,1)</f>
        <v>0</v>
      </c>
      <c r="N15">
        <f>COUNTIF(N17:N21,1)</f>
        <v>2</v>
      </c>
      <c r="O15">
        <f>COUNTIF(O17:O21,"&gt;0")</f>
        <v>4</v>
      </c>
      <c r="P15">
        <f>COUNTIF(P17:P21,1)</f>
        <v>0</v>
      </c>
      <c r="Q15">
        <f>COUNTIF(Q17:Q21,1)</f>
        <v>2</v>
      </c>
      <c r="S15">
        <f>COUNTIF(S17:S21,1)</f>
        <v>0</v>
      </c>
      <c r="T15">
        <f>COUNTIFS(T17:T21,1,K17:K21,"&gt;4")</f>
        <v>0</v>
      </c>
      <c r="U15" t="s">
        <v>0</v>
      </c>
      <c r="V15">
        <f>COUNT(V17:V21)</f>
        <v>4</v>
      </c>
      <c r="W15">
        <f>COUNTIF(W17:W21,"&gt;4")</f>
        <v>0</v>
      </c>
      <c r="Y15">
        <f>COUNTIF(Y17:Y21,1)</f>
        <v>0</v>
      </c>
      <c r="Z15">
        <f>COUNTIF(Z17:Z21,1)</f>
        <v>2</v>
      </c>
      <c r="AA15">
        <f>COUNTIF(AA17:AA21,"&gt;0")</f>
        <v>4</v>
      </c>
      <c r="AB15">
        <f>COUNTIF(AB17:AB21,1)</f>
        <v>0</v>
      </c>
      <c r="AC15">
        <f>COUNTIF(AC17:AC21,1)</f>
        <v>2</v>
      </c>
      <c r="AE15">
        <f>COUNTIF(AE17:AE21,1)</f>
        <v>0</v>
      </c>
      <c r="AF15">
        <f>COUNTIFS(AF17:AF21,1,W17:W21,"&gt;4")</f>
        <v>0</v>
      </c>
      <c r="AG15" t="s">
        <v>0</v>
      </c>
      <c r="AH15">
        <f>COUNT(AH17:AH21)</f>
        <v>3</v>
      </c>
      <c r="AI15">
        <f>COUNTIF(AI17:AI21,"&gt;4")</f>
        <v>0</v>
      </c>
      <c r="AK15">
        <f>COUNTIF(AK17:AK21,1)</f>
        <v>0</v>
      </c>
      <c r="AL15">
        <f>COUNTIF(AL17:AL21,1)</f>
        <v>2</v>
      </c>
      <c r="AM15">
        <f>COUNTIF(AM17:AM21,"&gt;0")</f>
        <v>3</v>
      </c>
      <c r="AN15">
        <f>COUNTIF(AN17:AN21,1)</f>
        <v>0</v>
      </c>
      <c r="AO15">
        <f>COUNTIF(AO17:AO21,1)</f>
        <v>2</v>
      </c>
      <c r="AQ15">
        <f>COUNTIF(AQ17:AQ21,1)</f>
        <v>0</v>
      </c>
      <c r="AR15">
        <f>COUNTIFS(AR17:AR21,1,AI17:AI21,"&gt;4")</f>
        <v>0</v>
      </c>
      <c r="AS15" t="s">
        <v>0</v>
      </c>
      <c r="AT15">
        <f>COUNT(AT17:AT21)</f>
        <v>2</v>
      </c>
      <c r="AU15">
        <f>COUNTIF(AU17:AU21,"&gt;4")</f>
        <v>0</v>
      </c>
      <c r="AW15">
        <f>COUNTIF(AW17:AW21,1)</f>
        <v>0</v>
      </c>
      <c r="AX15">
        <f>COUNTIF(AX17:AX21,1)</f>
        <v>1</v>
      </c>
      <c r="AY15">
        <f>COUNTIF(AY17:AY21,"&gt;0")</f>
        <v>2</v>
      </c>
      <c r="AZ15">
        <f>COUNTIF(AZ17:AZ21,1)</f>
        <v>0</v>
      </c>
      <c r="BA15">
        <f>COUNTIF(BA17:BA21,1)</f>
        <v>1</v>
      </c>
      <c r="BC15">
        <f>COUNTIF(BC17:BC21,1)</f>
        <v>0</v>
      </c>
      <c r="BD15">
        <f>COUNTIFS(BD17:BD21,1,AU17:AU21,"&gt;4")</f>
        <v>0</v>
      </c>
    </row>
    <row r="16" spans="1:56" x14ac:dyDescent="0.2">
      <c r="A16" t="s">
        <v>3</v>
      </c>
      <c r="B16" t="s">
        <v>4</v>
      </c>
      <c r="C16" t="s">
        <v>5</v>
      </c>
      <c r="D16" t="s">
        <v>6</v>
      </c>
      <c r="E16" t="s">
        <v>5</v>
      </c>
      <c r="F16" t="s">
        <v>6</v>
      </c>
      <c r="G16" t="s">
        <v>5</v>
      </c>
      <c r="H16" t="s">
        <v>6</v>
      </c>
      <c r="I16" t="s">
        <v>0</v>
      </c>
      <c r="J16" t="s">
        <v>3</v>
      </c>
      <c r="K16" t="s">
        <v>4</v>
      </c>
      <c r="L16" t="s">
        <v>5</v>
      </c>
      <c r="M16" t="s">
        <v>6</v>
      </c>
      <c r="N16" t="s">
        <v>7</v>
      </c>
      <c r="O16" t="s">
        <v>5</v>
      </c>
      <c r="P16" t="s">
        <v>6</v>
      </c>
      <c r="Q16" t="s">
        <v>8</v>
      </c>
      <c r="R16" t="s">
        <v>5</v>
      </c>
      <c r="S16" t="s">
        <v>6</v>
      </c>
      <c r="T16" t="s">
        <v>7</v>
      </c>
      <c r="U16" t="s">
        <v>0</v>
      </c>
      <c r="V16" t="s">
        <v>3</v>
      </c>
      <c r="W16" t="s">
        <v>4</v>
      </c>
      <c r="X16" t="s">
        <v>5</v>
      </c>
      <c r="Y16" t="s">
        <v>6</v>
      </c>
      <c r="Z16" t="s">
        <v>7</v>
      </c>
      <c r="AA16" t="s">
        <v>5</v>
      </c>
      <c r="AB16" t="s">
        <v>6</v>
      </c>
      <c r="AC16" t="s">
        <v>7</v>
      </c>
      <c r="AD16" t="s">
        <v>5</v>
      </c>
      <c r="AE16" t="s">
        <v>6</v>
      </c>
      <c r="AF16" t="s">
        <v>7</v>
      </c>
      <c r="AG16" t="s">
        <v>0</v>
      </c>
      <c r="AH16" t="s">
        <v>3</v>
      </c>
      <c r="AI16" t="s">
        <v>4</v>
      </c>
      <c r="AJ16" t="s">
        <v>5</v>
      </c>
      <c r="AK16" t="s">
        <v>6</v>
      </c>
      <c r="AL16" t="s">
        <v>7</v>
      </c>
      <c r="AM16" t="s">
        <v>5</v>
      </c>
      <c r="AN16" t="s">
        <v>6</v>
      </c>
      <c r="AO16" t="s">
        <v>7</v>
      </c>
      <c r="AP16" t="s">
        <v>5</v>
      </c>
      <c r="AQ16" t="s">
        <v>6</v>
      </c>
      <c r="AR16" t="s">
        <v>7</v>
      </c>
      <c r="AS16" t="s">
        <v>0</v>
      </c>
      <c r="AT16" t="s">
        <v>3</v>
      </c>
      <c r="AU16" t="s">
        <v>4</v>
      </c>
      <c r="AV16" t="s">
        <v>5</v>
      </c>
      <c r="AW16" t="s">
        <v>6</v>
      </c>
      <c r="AX16" t="s">
        <v>7</v>
      </c>
      <c r="AY16" t="s">
        <v>5</v>
      </c>
      <c r="AZ16" t="s">
        <v>6</v>
      </c>
      <c r="BA16" t="s">
        <v>7</v>
      </c>
      <c r="BB16" t="s">
        <v>5</v>
      </c>
      <c r="BC16" t="s">
        <v>6</v>
      </c>
      <c r="BD16" t="s">
        <v>7</v>
      </c>
    </row>
    <row r="17" spans="1:56" x14ac:dyDescent="0.2">
      <c r="A17">
        <v>1</v>
      </c>
      <c r="B17">
        <v>5</v>
      </c>
      <c r="C17">
        <v>0.95199999999999996</v>
      </c>
      <c r="D17">
        <v>0</v>
      </c>
      <c r="E17">
        <v>0.95199999999999996</v>
      </c>
      <c r="F17">
        <v>0</v>
      </c>
      <c r="G17">
        <v>0.152</v>
      </c>
      <c r="H17">
        <v>0</v>
      </c>
      <c r="J17">
        <v>1</v>
      </c>
      <c r="K17">
        <v>4</v>
      </c>
      <c r="L17">
        <v>0.99099999999999999</v>
      </c>
      <c r="M17">
        <v>0.9</v>
      </c>
      <c r="N17">
        <v>0.95199999999999996</v>
      </c>
      <c r="O17">
        <v>0.99099999999999999</v>
      </c>
      <c r="P17">
        <v>0.9</v>
      </c>
      <c r="Q17">
        <v>0.95199999999999996</v>
      </c>
      <c r="R17">
        <v>0.97</v>
      </c>
      <c r="S17">
        <v>0.97</v>
      </c>
      <c r="T17">
        <v>0</v>
      </c>
      <c r="V17">
        <v>1</v>
      </c>
      <c r="W17">
        <v>4</v>
      </c>
      <c r="X17">
        <v>0.99099999999999999</v>
      </c>
      <c r="Y17">
        <v>0.9</v>
      </c>
      <c r="Z17">
        <v>0.95199999999999996</v>
      </c>
      <c r="AA17">
        <v>0.99099999999999999</v>
      </c>
      <c r="AB17">
        <v>0.9</v>
      </c>
      <c r="AC17">
        <v>0.95199999999999996</v>
      </c>
      <c r="AD17">
        <v>0.97</v>
      </c>
      <c r="AE17">
        <v>0.97</v>
      </c>
      <c r="AF17">
        <v>0</v>
      </c>
      <c r="AH17">
        <v>1</v>
      </c>
      <c r="AI17">
        <v>4</v>
      </c>
      <c r="AJ17">
        <v>0.99099999999999999</v>
      </c>
      <c r="AK17">
        <v>0.9</v>
      </c>
      <c r="AL17">
        <v>0.95199999999999996</v>
      </c>
      <c r="AM17">
        <v>0.99099999999999999</v>
      </c>
      <c r="AN17">
        <v>0.9</v>
      </c>
      <c r="AO17">
        <v>0.95199999999999996</v>
      </c>
      <c r="AP17">
        <v>0.97</v>
      </c>
      <c r="AQ17">
        <v>0.97</v>
      </c>
      <c r="AR17">
        <v>0</v>
      </c>
      <c r="AT17">
        <v>1</v>
      </c>
      <c r="AU17">
        <v>4</v>
      </c>
      <c r="AV17">
        <v>0.99099999999999999</v>
      </c>
      <c r="AW17">
        <v>0.9</v>
      </c>
      <c r="AX17">
        <v>0.95199999999999996</v>
      </c>
      <c r="AY17">
        <v>0.99099999999999999</v>
      </c>
      <c r="AZ17">
        <v>0.9</v>
      </c>
      <c r="BA17">
        <v>0.95199999999999996</v>
      </c>
      <c r="BB17">
        <v>0.97</v>
      </c>
      <c r="BC17">
        <v>0.97</v>
      </c>
      <c r="BD17">
        <v>0</v>
      </c>
    </row>
    <row r="18" spans="1:56" x14ac:dyDescent="0.2">
      <c r="A18">
        <v>2</v>
      </c>
      <c r="B18">
        <v>4</v>
      </c>
      <c r="C18">
        <v>0.91</v>
      </c>
      <c r="D18">
        <v>0.66</v>
      </c>
      <c r="E18">
        <v>0.90800000000000003</v>
      </c>
      <c r="F18">
        <v>0.64</v>
      </c>
      <c r="G18">
        <v>0.72</v>
      </c>
      <c r="H18">
        <v>0.72</v>
      </c>
      <c r="J18">
        <v>2</v>
      </c>
      <c r="K18">
        <v>4</v>
      </c>
      <c r="L18">
        <v>0.91</v>
      </c>
      <c r="M18">
        <v>0.66</v>
      </c>
      <c r="N18">
        <v>1</v>
      </c>
      <c r="O18">
        <v>0.90800000000000003</v>
      </c>
      <c r="P18">
        <v>0.64</v>
      </c>
      <c r="Q18">
        <v>1</v>
      </c>
      <c r="R18">
        <v>0.72</v>
      </c>
      <c r="S18">
        <v>0.72</v>
      </c>
      <c r="T18">
        <v>1</v>
      </c>
      <c r="V18">
        <v>2</v>
      </c>
      <c r="W18">
        <v>4</v>
      </c>
      <c r="X18">
        <v>0.91</v>
      </c>
      <c r="Y18">
        <v>0.66</v>
      </c>
      <c r="Z18">
        <v>1</v>
      </c>
      <c r="AA18">
        <v>0.90800000000000003</v>
      </c>
      <c r="AB18">
        <v>0.64</v>
      </c>
      <c r="AC18">
        <v>1</v>
      </c>
      <c r="AD18">
        <v>0.72</v>
      </c>
      <c r="AE18">
        <v>0.72</v>
      </c>
      <c r="AF18">
        <v>1</v>
      </c>
      <c r="AH18">
        <v>2</v>
      </c>
      <c r="AI18">
        <v>4</v>
      </c>
      <c r="AJ18">
        <v>0.91</v>
      </c>
      <c r="AK18">
        <v>0.66</v>
      </c>
      <c r="AL18">
        <v>1</v>
      </c>
      <c r="AM18">
        <v>0.90800000000000003</v>
      </c>
      <c r="AN18">
        <v>0.64</v>
      </c>
      <c r="AO18">
        <v>1</v>
      </c>
      <c r="AP18">
        <v>0.72</v>
      </c>
      <c r="AQ18">
        <v>0.72</v>
      </c>
      <c r="AR18">
        <v>1</v>
      </c>
      <c r="AT18">
        <v>2</v>
      </c>
      <c r="AU18">
        <v>4</v>
      </c>
      <c r="AV18">
        <v>0.93400000000000005</v>
      </c>
      <c r="AW18">
        <v>0.84</v>
      </c>
      <c r="AX18">
        <v>1</v>
      </c>
      <c r="AY18">
        <v>0.93400000000000005</v>
      </c>
      <c r="AZ18">
        <v>0.84</v>
      </c>
      <c r="BA18">
        <v>1</v>
      </c>
      <c r="BB18">
        <v>0.8</v>
      </c>
      <c r="BC18">
        <v>0.8</v>
      </c>
      <c r="BD18">
        <v>0</v>
      </c>
    </row>
    <row r="19" spans="1:56" x14ac:dyDescent="0.2">
      <c r="A19">
        <v>3</v>
      </c>
      <c r="B19">
        <v>4</v>
      </c>
      <c r="C19">
        <v>0.93400000000000005</v>
      </c>
      <c r="D19">
        <v>0.84</v>
      </c>
      <c r="E19">
        <v>0.93400000000000005</v>
      </c>
      <c r="F19">
        <v>0.84</v>
      </c>
      <c r="G19">
        <v>0.01</v>
      </c>
      <c r="H19">
        <v>0.01</v>
      </c>
      <c r="J19">
        <v>3</v>
      </c>
      <c r="K19">
        <v>4</v>
      </c>
      <c r="L19">
        <v>0.93400000000000005</v>
      </c>
      <c r="M19">
        <v>0.84</v>
      </c>
      <c r="N19">
        <v>1</v>
      </c>
      <c r="O19">
        <v>0.93400000000000005</v>
      </c>
      <c r="P19">
        <v>0.84</v>
      </c>
      <c r="Q19">
        <v>1</v>
      </c>
      <c r="R19">
        <v>0.8</v>
      </c>
      <c r="S19">
        <v>0.8</v>
      </c>
      <c r="T19">
        <v>0</v>
      </c>
      <c r="V19">
        <v>3</v>
      </c>
      <c r="W19">
        <v>4</v>
      </c>
      <c r="X19">
        <v>0.93400000000000005</v>
      </c>
      <c r="Y19">
        <v>0.84</v>
      </c>
      <c r="Z19">
        <v>1</v>
      </c>
      <c r="AA19">
        <v>0.93400000000000005</v>
      </c>
      <c r="AB19">
        <v>0.84</v>
      </c>
      <c r="AC19">
        <v>1</v>
      </c>
      <c r="AD19">
        <v>0.8</v>
      </c>
      <c r="AE19">
        <v>0.8</v>
      </c>
      <c r="AF19">
        <v>0</v>
      </c>
      <c r="AH19">
        <v>3</v>
      </c>
      <c r="AI19">
        <v>4</v>
      </c>
      <c r="AJ19">
        <v>0.93400000000000005</v>
      </c>
      <c r="AK19">
        <v>0.84</v>
      </c>
      <c r="AL19">
        <v>1</v>
      </c>
      <c r="AM19">
        <v>0.93400000000000005</v>
      </c>
      <c r="AN19">
        <v>0.84</v>
      </c>
      <c r="AO19">
        <v>1</v>
      </c>
      <c r="AP19">
        <v>0.8</v>
      </c>
      <c r="AQ19">
        <v>0.8</v>
      </c>
      <c r="AR19">
        <v>0</v>
      </c>
    </row>
    <row r="20" spans="1:56" x14ac:dyDescent="0.2">
      <c r="A20">
        <v>4</v>
      </c>
      <c r="B20">
        <v>5</v>
      </c>
      <c r="C20">
        <v>0.747</v>
      </c>
      <c r="D20">
        <v>0</v>
      </c>
      <c r="E20">
        <v>0.746</v>
      </c>
      <c r="F20">
        <v>0</v>
      </c>
      <c r="G20">
        <v>0.312</v>
      </c>
      <c r="H20">
        <v>0.31</v>
      </c>
      <c r="J20">
        <v>4</v>
      </c>
      <c r="K20">
        <v>4</v>
      </c>
      <c r="L20">
        <v>0.78800000000000003</v>
      </c>
      <c r="M20">
        <v>0.52</v>
      </c>
      <c r="N20">
        <v>0.95199999999999996</v>
      </c>
      <c r="O20">
        <v>0.78800000000000003</v>
      </c>
      <c r="P20">
        <v>0.51</v>
      </c>
      <c r="Q20">
        <v>0.95199999999999996</v>
      </c>
      <c r="R20">
        <v>0.18</v>
      </c>
      <c r="S20">
        <v>0.18</v>
      </c>
      <c r="T20">
        <v>0.28599999999999998</v>
      </c>
      <c r="V20">
        <v>4</v>
      </c>
      <c r="W20">
        <v>4</v>
      </c>
      <c r="X20">
        <v>0.78800000000000003</v>
      </c>
      <c r="Y20">
        <v>0.52</v>
      </c>
      <c r="Z20">
        <v>0.95199999999999996</v>
      </c>
      <c r="AA20">
        <v>0.78800000000000003</v>
      </c>
      <c r="AB20">
        <v>0.51</v>
      </c>
      <c r="AC20">
        <v>0.95199999999999996</v>
      </c>
      <c r="AD20">
        <v>0.312</v>
      </c>
      <c r="AE20">
        <v>0.31</v>
      </c>
      <c r="AF20">
        <v>1</v>
      </c>
    </row>
    <row r="25" spans="1:56" x14ac:dyDescent="0.2">
      <c r="A25">
        <f>COUNT(A27:A31)</f>
        <v>4</v>
      </c>
      <c r="B25">
        <f>COUNTIF(B27:B31,"&gt;4")</f>
        <v>1</v>
      </c>
      <c r="D25" t="s">
        <v>0</v>
      </c>
      <c r="E25" t="s">
        <v>1</v>
      </c>
      <c r="F25" t="s">
        <v>0</v>
      </c>
      <c r="G25" t="s">
        <v>2</v>
      </c>
      <c r="H25" t="s">
        <v>0</v>
      </c>
      <c r="I25" t="s">
        <v>0</v>
      </c>
      <c r="J25">
        <f>COUNT(J27:J31)</f>
        <v>4</v>
      </c>
      <c r="K25">
        <f>COUNTIF(K27:K31,"&gt;4")</f>
        <v>0</v>
      </c>
      <c r="M25">
        <f>COUNTIF(M27:M31,1)</f>
        <v>0</v>
      </c>
      <c r="N25">
        <f>COUNTIF(N27:N31,1)</f>
        <v>3</v>
      </c>
      <c r="O25">
        <f>COUNTIF(O27:O31,"&gt;0")</f>
        <v>4</v>
      </c>
      <c r="P25">
        <f>COUNTIF(P27:P31,1)</f>
        <v>0</v>
      </c>
      <c r="Q25">
        <f>COUNTIF(Q27:Q31,1)</f>
        <v>3</v>
      </c>
      <c r="S25">
        <f>COUNTIF(S27:S31,1)</f>
        <v>0</v>
      </c>
      <c r="T25">
        <f>COUNTIFS(T27:T31,1,K27:K31,"&gt;4")</f>
        <v>0</v>
      </c>
      <c r="U25" t="s">
        <v>0</v>
      </c>
      <c r="V25">
        <f>COUNT(V27:V31)</f>
        <v>4</v>
      </c>
      <c r="W25">
        <f>COUNTIF(W27:W31,"&gt;4")</f>
        <v>1</v>
      </c>
      <c r="Y25">
        <f>COUNTIF(Y27:Y31,1)</f>
        <v>0</v>
      </c>
      <c r="Z25">
        <f>COUNTIF(Z27:Z31,1)</f>
        <v>4</v>
      </c>
      <c r="AA25">
        <f>COUNTIF(AA27:AA31,"&gt;0")</f>
        <v>4</v>
      </c>
      <c r="AB25">
        <f>COUNTIF(AB27:AB31,1)</f>
        <v>0</v>
      </c>
      <c r="AC25">
        <f>COUNTIF(AC27:AC31,1)</f>
        <v>4</v>
      </c>
      <c r="AE25">
        <f>COUNTIF(AE27:AE31,1)</f>
        <v>0</v>
      </c>
      <c r="AF25">
        <f>COUNTIFS(AF27:AF31,1,W27:W31,"&gt;4")</f>
        <v>1</v>
      </c>
      <c r="AG25" t="s">
        <v>0</v>
      </c>
      <c r="AH25">
        <f>COUNT(AH27:AH31)</f>
        <v>2</v>
      </c>
      <c r="AI25">
        <f>COUNTIF(AI27:AI31,"&gt;4")</f>
        <v>1</v>
      </c>
      <c r="AK25">
        <f>COUNTIF(AK27:AK31,1)</f>
        <v>0</v>
      </c>
      <c r="AL25">
        <f>COUNTIF(AL27:AL31,1)</f>
        <v>2</v>
      </c>
      <c r="AM25">
        <f>COUNTIF(AM27:AM31,"&gt;0")</f>
        <v>1</v>
      </c>
      <c r="AN25">
        <f>COUNTIF(AN27:AN31,1)</f>
        <v>0</v>
      </c>
      <c r="AO25">
        <f>COUNTIF(AO27:AO31,1)</f>
        <v>1</v>
      </c>
      <c r="AQ25">
        <f>COUNTIF(AQ27:AQ31,1)</f>
        <v>0</v>
      </c>
      <c r="AR25">
        <f>COUNTIFS(AR27:AR31,1,AI27:AI31,"&gt;4")</f>
        <v>1</v>
      </c>
      <c r="AS25" t="s">
        <v>0</v>
      </c>
      <c r="AT25">
        <f>COUNT(AT27:AT31)</f>
        <v>1</v>
      </c>
      <c r="AU25">
        <f>COUNTIF(AU27:AU31,"&gt;4")</f>
        <v>1</v>
      </c>
      <c r="AW25">
        <f>COUNTIF(AW27:AW31,1)</f>
        <v>0</v>
      </c>
      <c r="AX25">
        <f>COUNTIF(AX27:AX31,1)</f>
        <v>1</v>
      </c>
      <c r="AY25">
        <f>COUNTIF(AY27:AY31,"&gt;0")</f>
        <v>1</v>
      </c>
      <c r="AZ25">
        <f>COUNTIF(AZ27:AZ31,1)</f>
        <v>0</v>
      </c>
      <c r="BA25">
        <f>COUNTIF(BA27:BA31,1)</f>
        <v>1</v>
      </c>
      <c r="BC25">
        <f>COUNTIF(BC27:BC31,1)</f>
        <v>0</v>
      </c>
      <c r="BD25">
        <f>COUNTIFS(BD27:BD31,1,AU27:AU31,"&gt;4")</f>
        <v>1</v>
      </c>
    </row>
    <row r="26" spans="1:56" x14ac:dyDescent="0.2">
      <c r="A26" t="s">
        <v>3</v>
      </c>
      <c r="B26" t="s">
        <v>4</v>
      </c>
      <c r="C26" t="s">
        <v>5</v>
      </c>
      <c r="D26" t="s">
        <v>6</v>
      </c>
      <c r="E26" t="s">
        <v>5</v>
      </c>
      <c r="F26" t="s">
        <v>6</v>
      </c>
      <c r="G26" t="s">
        <v>5</v>
      </c>
      <c r="H26" t="s">
        <v>6</v>
      </c>
      <c r="I26" t="s">
        <v>0</v>
      </c>
      <c r="J26" t="s">
        <v>3</v>
      </c>
      <c r="K26" t="s">
        <v>4</v>
      </c>
      <c r="L26" t="s">
        <v>5</v>
      </c>
      <c r="M26" t="s">
        <v>6</v>
      </c>
      <c r="N26" t="s">
        <v>7</v>
      </c>
      <c r="O26" t="s">
        <v>5</v>
      </c>
      <c r="P26" t="s">
        <v>6</v>
      </c>
      <c r="Q26" t="s">
        <v>8</v>
      </c>
      <c r="R26" t="s">
        <v>5</v>
      </c>
      <c r="S26" t="s">
        <v>6</v>
      </c>
      <c r="T26" t="s">
        <v>7</v>
      </c>
      <c r="U26" t="s">
        <v>0</v>
      </c>
      <c r="V26" t="s">
        <v>3</v>
      </c>
      <c r="W26" t="s">
        <v>4</v>
      </c>
      <c r="X26" t="s">
        <v>5</v>
      </c>
      <c r="Y26" t="s">
        <v>6</v>
      </c>
      <c r="Z26" t="s">
        <v>7</v>
      </c>
      <c r="AA26" t="s">
        <v>5</v>
      </c>
      <c r="AB26" t="s">
        <v>6</v>
      </c>
      <c r="AC26" t="s">
        <v>7</v>
      </c>
      <c r="AD26" t="s">
        <v>5</v>
      </c>
      <c r="AE26" t="s">
        <v>6</v>
      </c>
      <c r="AF26" t="s">
        <v>7</v>
      </c>
      <c r="AG26" t="s">
        <v>0</v>
      </c>
      <c r="AH26" t="s">
        <v>3</v>
      </c>
      <c r="AI26" t="s">
        <v>4</v>
      </c>
      <c r="AJ26" t="s">
        <v>5</v>
      </c>
      <c r="AK26" t="s">
        <v>6</v>
      </c>
      <c r="AL26" t="s">
        <v>7</v>
      </c>
      <c r="AM26" t="s">
        <v>5</v>
      </c>
      <c r="AN26" t="s">
        <v>6</v>
      </c>
      <c r="AO26" t="s">
        <v>7</v>
      </c>
      <c r="AP26" t="s">
        <v>5</v>
      </c>
      <c r="AQ26" t="s">
        <v>6</v>
      </c>
      <c r="AR26" t="s">
        <v>7</v>
      </c>
      <c r="AS26" t="s">
        <v>0</v>
      </c>
      <c r="AT26" t="s">
        <v>3</v>
      </c>
      <c r="AU26" t="s">
        <v>4</v>
      </c>
      <c r="AV26" t="s">
        <v>5</v>
      </c>
      <c r="AW26" t="s">
        <v>6</v>
      </c>
      <c r="AX26" t="s">
        <v>7</v>
      </c>
      <c r="AY26" t="s">
        <v>5</v>
      </c>
      <c r="AZ26" t="s">
        <v>6</v>
      </c>
      <c r="BA26" t="s">
        <v>7</v>
      </c>
      <c r="BB26" t="s">
        <v>5</v>
      </c>
      <c r="BC26" t="s">
        <v>6</v>
      </c>
      <c r="BD26" t="s">
        <v>7</v>
      </c>
    </row>
    <row r="27" spans="1:56" x14ac:dyDescent="0.2">
      <c r="A27">
        <v>1</v>
      </c>
      <c r="B27">
        <v>5</v>
      </c>
      <c r="C27">
        <v>0.95499999999999996</v>
      </c>
      <c r="D27">
        <v>0.48</v>
      </c>
      <c r="E27">
        <v>0.95499999999999996</v>
      </c>
      <c r="F27">
        <v>0.48</v>
      </c>
      <c r="G27">
        <v>0.79300000000000004</v>
      </c>
      <c r="H27">
        <v>0.79</v>
      </c>
      <c r="J27">
        <v>1</v>
      </c>
      <c r="K27">
        <v>4</v>
      </c>
      <c r="L27">
        <v>0.94199999999999995</v>
      </c>
      <c r="M27">
        <v>0.34</v>
      </c>
      <c r="N27">
        <v>0.95199999999999996</v>
      </c>
      <c r="O27">
        <v>0.94199999999999995</v>
      </c>
      <c r="P27">
        <v>0.34</v>
      </c>
      <c r="Q27">
        <v>0.95199999999999996</v>
      </c>
      <c r="R27">
        <v>0.79300000000000004</v>
      </c>
      <c r="S27">
        <v>0.79</v>
      </c>
      <c r="T27">
        <v>1</v>
      </c>
      <c r="V27">
        <v>1</v>
      </c>
      <c r="W27">
        <v>5</v>
      </c>
      <c r="X27">
        <v>0.95499999999999996</v>
      </c>
      <c r="Y27">
        <v>0.48</v>
      </c>
      <c r="Z27">
        <v>1</v>
      </c>
      <c r="AA27">
        <v>0.95499999999999996</v>
      </c>
      <c r="AB27">
        <v>0.48</v>
      </c>
      <c r="AC27">
        <v>1</v>
      </c>
      <c r="AD27">
        <v>0.79300000000000004</v>
      </c>
      <c r="AE27">
        <v>0.79</v>
      </c>
      <c r="AF27">
        <v>1</v>
      </c>
      <c r="AH27">
        <v>1</v>
      </c>
      <c r="AI27">
        <v>5</v>
      </c>
      <c r="AJ27">
        <v>0.95499999999999996</v>
      </c>
      <c r="AK27">
        <v>0.48</v>
      </c>
      <c r="AL27">
        <v>1</v>
      </c>
      <c r="AP27">
        <v>0.79300000000000004</v>
      </c>
      <c r="AQ27">
        <v>0.79</v>
      </c>
      <c r="AR27">
        <v>1</v>
      </c>
      <c r="AT27">
        <v>1</v>
      </c>
      <c r="AU27">
        <v>5</v>
      </c>
      <c r="AV27">
        <v>0.95499999999999996</v>
      </c>
      <c r="AW27">
        <v>0.48</v>
      </c>
      <c r="AX27">
        <v>1</v>
      </c>
      <c r="AY27">
        <v>0.95499999999999996</v>
      </c>
      <c r="AZ27">
        <v>0.48</v>
      </c>
      <c r="BA27">
        <v>1</v>
      </c>
      <c r="BB27">
        <v>0.79300000000000004</v>
      </c>
      <c r="BC27">
        <v>0.79</v>
      </c>
      <c r="BD27">
        <v>1</v>
      </c>
    </row>
    <row r="28" spans="1:56" x14ac:dyDescent="0.2">
      <c r="A28">
        <v>2</v>
      </c>
      <c r="B28">
        <v>4</v>
      </c>
      <c r="C28">
        <v>0.93700000000000006</v>
      </c>
      <c r="D28">
        <v>0.67</v>
      </c>
      <c r="E28">
        <v>0.93700000000000006</v>
      </c>
      <c r="F28">
        <v>0.67</v>
      </c>
      <c r="G28">
        <v>5.1999999999999998E-2</v>
      </c>
      <c r="H28">
        <v>0</v>
      </c>
      <c r="J28">
        <v>2</v>
      </c>
      <c r="K28">
        <v>4</v>
      </c>
      <c r="L28">
        <v>0.93700000000000006</v>
      </c>
      <c r="M28">
        <v>0.67</v>
      </c>
      <c r="N28">
        <v>1</v>
      </c>
      <c r="O28">
        <v>0.93700000000000006</v>
      </c>
      <c r="P28">
        <v>0.67</v>
      </c>
      <c r="Q28">
        <v>1</v>
      </c>
      <c r="R28">
        <v>0.68</v>
      </c>
      <c r="S28">
        <v>0.67</v>
      </c>
      <c r="T28">
        <v>0.222</v>
      </c>
      <c r="V28">
        <v>2</v>
      </c>
      <c r="W28">
        <v>4</v>
      </c>
      <c r="X28">
        <v>0.93700000000000006</v>
      </c>
      <c r="Y28">
        <v>0.67</v>
      </c>
      <c r="Z28">
        <v>1</v>
      </c>
      <c r="AA28">
        <v>0.93700000000000006</v>
      </c>
      <c r="AB28">
        <v>0.67</v>
      </c>
      <c r="AC28">
        <v>1</v>
      </c>
      <c r="AD28">
        <v>0.68</v>
      </c>
      <c r="AE28">
        <v>0.67</v>
      </c>
      <c r="AF28">
        <v>0.222</v>
      </c>
      <c r="AH28">
        <v>2</v>
      </c>
      <c r="AI28">
        <v>4</v>
      </c>
      <c r="AJ28">
        <v>0.93700000000000006</v>
      </c>
      <c r="AK28">
        <v>0.67</v>
      </c>
      <c r="AL28">
        <v>1</v>
      </c>
      <c r="AM28">
        <v>0.93700000000000006</v>
      </c>
      <c r="AN28">
        <v>0.67</v>
      </c>
      <c r="AO28">
        <v>1</v>
      </c>
      <c r="AP28">
        <v>0.68</v>
      </c>
      <c r="AQ28">
        <v>0.67</v>
      </c>
      <c r="AR28">
        <v>0.222</v>
      </c>
    </row>
    <row r="29" spans="1:56" x14ac:dyDescent="0.2">
      <c r="A29">
        <v>3</v>
      </c>
      <c r="B29">
        <v>4</v>
      </c>
      <c r="C29">
        <v>0.998</v>
      </c>
      <c r="D29">
        <v>0.99</v>
      </c>
      <c r="E29">
        <v>0.998</v>
      </c>
      <c r="F29">
        <v>0.99</v>
      </c>
      <c r="G29">
        <v>0.38800000000000001</v>
      </c>
      <c r="H29">
        <v>0.38</v>
      </c>
      <c r="J29">
        <v>3</v>
      </c>
      <c r="K29">
        <v>4</v>
      </c>
      <c r="L29">
        <v>0.998</v>
      </c>
      <c r="M29">
        <v>0.99</v>
      </c>
      <c r="N29">
        <v>1</v>
      </c>
      <c r="O29">
        <v>0.998</v>
      </c>
      <c r="P29">
        <v>0.99</v>
      </c>
      <c r="Q29">
        <v>1</v>
      </c>
      <c r="R29">
        <v>0.53800000000000003</v>
      </c>
      <c r="S29">
        <v>0.53</v>
      </c>
      <c r="T29">
        <v>0.222</v>
      </c>
      <c r="V29">
        <v>3</v>
      </c>
      <c r="W29">
        <v>4</v>
      </c>
      <c r="X29">
        <v>0.998</v>
      </c>
      <c r="Y29">
        <v>0.99</v>
      </c>
      <c r="Z29">
        <v>1</v>
      </c>
      <c r="AA29">
        <v>0.998</v>
      </c>
      <c r="AB29">
        <v>0.99</v>
      </c>
      <c r="AC29">
        <v>1</v>
      </c>
      <c r="AD29">
        <v>0.53800000000000003</v>
      </c>
      <c r="AE29">
        <v>0.53</v>
      </c>
      <c r="AF29">
        <v>0.222</v>
      </c>
    </row>
    <row r="30" spans="1:56" x14ac:dyDescent="0.2">
      <c r="A30">
        <v>4</v>
      </c>
      <c r="B30">
        <v>4</v>
      </c>
      <c r="C30">
        <v>0.91200000000000003</v>
      </c>
      <c r="D30">
        <v>0.74</v>
      </c>
      <c r="E30">
        <v>0.91200000000000003</v>
      </c>
      <c r="F30">
        <v>0.74</v>
      </c>
      <c r="G30">
        <v>0.14199999999999999</v>
      </c>
      <c r="H30">
        <v>0.13</v>
      </c>
      <c r="J30">
        <v>4</v>
      </c>
      <c r="K30">
        <v>4</v>
      </c>
      <c r="L30">
        <v>0.91200000000000003</v>
      </c>
      <c r="M30">
        <v>0.74</v>
      </c>
      <c r="N30">
        <v>1</v>
      </c>
      <c r="O30">
        <v>0.91200000000000003</v>
      </c>
      <c r="P30">
        <v>0.74</v>
      </c>
      <c r="Q30">
        <v>1</v>
      </c>
      <c r="R30">
        <v>0.49399999999999999</v>
      </c>
      <c r="S30">
        <v>0.49</v>
      </c>
      <c r="T30">
        <v>0.222</v>
      </c>
      <c r="V30">
        <v>4</v>
      </c>
      <c r="W30">
        <v>4</v>
      </c>
      <c r="X30">
        <v>0.91200000000000003</v>
      </c>
      <c r="Y30">
        <v>0.74</v>
      </c>
      <c r="Z30">
        <v>1</v>
      </c>
      <c r="AA30">
        <v>0.91200000000000003</v>
      </c>
      <c r="AB30">
        <v>0.74</v>
      </c>
      <c r="AC30">
        <v>1</v>
      </c>
      <c r="AD30">
        <v>0.49399999999999999</v>
      </c>
      <c r="AE30">
        <v>0.49</v>
      </c>
      <c r="AF30">
        <v>0.222</v>
      </c>
    </row>
    <row r="36" spans="1:56" x14ac:dyDescent="0.2">
      <c r="A36">
        <f>COUNT(A38:A42)</f>
        <v>2</v>
      </c>
      <c r="B36">
        <f>COUNTIF(B38:B42,"&gt;4")</f>
        <v>2</v>
      </c>
      <c r="D36" t="s">
        <v>0</v>
      </c>
      <c r="E36" t="s">
        <v>1</v>
      </c>
      <c r="F36" t="s">
        <v>0</v>
      </c>
      <c r="G36" t="s">
        <v>2</v>
      </c>
      <c r="H36" t="s">
        <v>0</v>
      </c>
      <c r="I36" t="s">
        <v>0</v>
      </c>
      <c r="J36">
        <f>COUNT(J38:J42)</f>
        <v>3</v>
      </c>
      <c r="K36">
        <f>COUNTIF(K38:K42,"&gt;4")</f>
        <v>2</v>
      </c>
      <c r="M36">
        <f>COUNTIF(M38:M42,1)</f>
        <v>0</v>
      </c>
      <c r="N36">
        <f>COUNTIF(N38:N42,1)</f>
        <v>1</v>
      </c>
      <c r="O36">
        <f>COUNTIF(O38:O42,"&gt;0")</f>
        <v>3</v>
      </c>
      <c r="P36">
        <f>COUNTIF(P38:P42,1)</f>
        <v>0</v>
      </c>
      <c r="Q36">
        <f>COUNTIF(Q38:Q42,1)</f>
        <v>1</v>
      </c>
      <c r="S36">
        <f>COUNTIF(S38:S42,1)</f>
        <v>1</v>
      </c>
      <c r="T36">
        <f>COUNTIFS(T38:T42,1,K38:K42,"&gt;4")</f>
        <v>2</v>
      </c>
      <c r="U36" t="s">
        <v>0</v>
      </c>
      <c r="V36">
        <f>COUNT(V38:V42)</f>
        <v>4</v>
      </c>
      <c r="W36">
        <f>COUNTIF(W38:W42,"&gt;4")</f>
        <v>2</v>
      </c>
      <c r="Y36">
        <f>COUNTIF(Y38:Y42,1)</f>
        <v>0</v>
      </c>
      <c r="Z36">
        <f>COUNTIF(Z38:Z42,1)</f>
        <v>1</v>
      </c>
      <c r="AA36">
        <f>COUNTIF(AA38:AA42,"&gt;0")</f>
        <v>4</v>
      </c>
      <c r="AB36">
        <f>COUNTIF(AB38:AB42,1)</f>
        <v>0</v>
      </c>
      <c r="AC36">
        <f>COUNTIF(AC38:AC42,1)</f>
        <v>1</v>
      </c>
      <c r="AE36">
        <f>COUNTIF(AE38:AE42,1)</f>
        <v>1</v>
      </c>
      <c r="AF36">
        <f>COUNTIFS(AF38:AF42,1,W38:W42,"&gt;4")</f>
        <v>2</v>
      </c>
      <c r="AG36" t="s">
        <v>0</v>
      </c>
      <c r="AH36">
        <f>COUNT(AH38:AH42)</f>
        <v>2</v>
      </c>
      <c r="AI36">
        <f>COUNTIF(AI38:AI42,"&gt;4")</f>
        <v>2</v>
      </c>
      <c r="AK36">
        <f>COUNTIF(AK38:AK42,1)</f>
        <v>0</v>
      </c>
      <c r="AL36">
        <f>COUNTIF(AL38:AL42,1)</f>
        <v>1</v>
      </c>
      <c r="AM36">
        <f>COUNTIF(AM38:AM42,"&gt;0")</f>
        <v>1</v>
      </c>
      <c r="AN36">
        <f>COUNTIF(AN38:AN42,1)</f>
        <v>0</v>
      </c>
      <c r="AO36">
        <f>COUNTIF(AO38:AO42,1)</f>
        <v>1</v>
      </c>
      <c r="AQ36">
        <f>COUNTIF(AQ38:AQ42,1)</f>
        <v>1</v>
      </c>
      <c r="AR36">
        <f>COUNTIFS(AR38:AR42,1,AI38:AI42,"&gt;4")</f>
        <v>2</v>
      </c>
      <c r="AS36" t="s">
        <v>0</v>
      </c>
      <c r="AT36">
        <f>COUNT(AT38:AT42)</f>
        <v>2</v>
      </c>
      <c r="AU36">
        <f>COUNTIF(AU38:AU42,"&gt;4")</f>
        <v>2</v>
      </c>
      <c r="AW36">
        <f>COUNTIF(AW38:AW42,1)</f>
        <v>0</v>
      </c>
      <c r="AX36">
        <f>COUNTIF(AX38:AX42,1)</f>
        <v>1</v>
      </c>
      <c r="AY36">
        <f>COUNTIF(AY38:AY42,"&gt;0")</f>
        <v>2</v>
      </c>
      <c r="AZ36">
        <f>COUNTIF(AZ38:AZ42,1)</f>
        <v>0</v>
      </c>
      <c r="BA36">
        <f>COUNTIF(BA38:BA42,1)</f>
        <v>1</v>
      </c>
      <c r="BC36">
        <f>COUNTIF(BC38:BC42,1)</f>
        <v>1</v>
      </c>
      <c r="BD36">
        <f>COUNTIFS(BD38:BD42,1,AU38:AU42,"&gt;4")</f>
        <v>2</v>
      </c>
    </row>
    <row r="37" spans="1:56" x14ac:dyDescent="0.2">
      <c r="A37" t="s">
        <v>3</v>
      </c>
      <c r="B37" t="s">
        <v>4</v>
      </c>
      <c r="C37" t="s">
        <v>5</v>
      </c>
      <c r="D37" t="s">
        <v>6</v>
      </c>
      <c r="E37" t="s">
        <v>5</v>
      </c>
      <c r="F37" t="s">
        <v>6</v>
      </c>
      <c r="G37" t="s">
        <v>5</v>
      </c>
      <c r="H37" t="s">
        <v>6</v>
      </c>
      <c r="I37" t="s">
        <v>0</v>
      </c>
      <c r="J37" t="s">
        <v>3</v>
      </c>
      <c r="K37" t="s">
        <v>4</v>
      </c>
      <c r="L37" t="s">
        <v>5</v>
      </c>
      <c r="M37" t="s">
        <v>6</v>
      </c>
      <c r="N37" t="s">
        <v>7</v>
      </c>
      <c r="O37" t="s">
        <v>5</v>
      </c>
      <c r="P37" t="s">
        <v>6</v>
      </c>
      <c r="Q37" t="s">
        <v>8</v>
      </c>
      <c r="R37" t="s">
        <v>5</v>
      </c>
      <c r="S37" t="s">
        <v>6</v>
      </c>
      <c r="T37" t="s">
        <v>7</v>
      </c>
      <c r="U37" t="s">
        <v>0</v>
      </c>
      <c r="V37" t="s">
        <v>3</v>
      </c>
      <c r="W37" t="s">
        <v>4</v>
      </c>
      <c r="X37" t="s">
        <v>5</v>
      </c>
      <c r="Y37" t="s">
        <v>6</v>
      </c>
      <c r="Z37" t="s">
        <v>7</v>
      </c>
      <c r="AA37" t="s">
        <v>5</v>
      </c>
      <c r="AB37" t="s">
        <v>6</v>
      </c>
      <c r="AC37" t="s">
        <v>7</v>
      </c>
      <c r="AD37" t="s">
        <v>5</v>
      </c>
      <c r="AE37" t="s">
        <v>6</v>
      </c>
      <c r="AF37" t="s">
        <v>7</v>
      </c>
      <c r="AG37" t="s">
        <v>0</v>
      </c>
      <c r="AH37" t="s">
        <v>3</v>
      </c>
      <c r="AI37" t="s">
        <v>4</v>
      </c>
      <c r="AJ37" t="s">
        <v>5</v>
      </c>
      <c r="AK37" t="s">
        <v>6</v>
      </c>
      <c r="AL37" t="s">
        <v>7</v>
      </c>
      <c r="AM37" t="s">
        <v>5</v>
      </c>
      <c r="AN37" t="s">
        <v>6</v>
      </c>
      <c r="AO37" t="s">
        <v>7</v>
      </c>
      <c r="AP37" t="s">
        <v>5</v>
      </c>
      <c r="AQ37" t="s">
        <v>6</v>
      </c>
      <c r="AR37" t="s">
        <v>7</v>
      </c>
      <c r="AS37" t="s">
        <v>0</v>
      </c>
      <c r="AT37" t="s">
        <v>3</v>
      </c>
      <c r="AU37" t="s">
        <v>4</v>
      </c>
      <c r="AV37" t="s">
        <v>5</v>
      </c>
      <c r="AW37" t="s">
        <v>6</v>
      </c>
      <c r="AX37" t="s">
        <v>7</v>
      </c>
      <c r="AY37" t="s">
        <v>5</v>
      </c>
      <c r="AZ37" t="s">
        <v>6</v>
      </c>
      <c r="BA37" t="s">
        <v>7</v>
      </c>
      <c r="BB37" t="s">
        <v>5</v>
      </c>
      <c r="BC37" t="s">
        <v>6</v>
      </c>
      <c r="BD37" t="s">
        <v>7</v>
      </c>
    </row>
    <row r="38" spans="1:56" x14ac:dyDescent="0.2">
      <c r="A38">
        <v>1</v>
      </c>
      <c r="B38">
        <v>7</v>
      </c>
      <c r="C38">
        <v>0.92400000000000004</v>
      </c>
      <c r="D38">
        <v>0</v>
      </c>
      <c r="E38">
        <v>0.92200000000000004</v>
      </c>
      <c r="F38">
        <v>0</v>
      </c>
      <c r="G38">
        <v>0.99</v>
      </c>
      <c r="H38">
        <v>0.99</v>
      </c>
      <c r="J38">
        <v>1</v>
      </c>
      <c r="K38">
        <v>4</v>
      </c>
      <c r="L38">
        <v>0.79400000000000004</v>
      </c>
      <c r="M38">
        <v>0.54</v>
      </c>
      <c r="N38">
        <v>0.52400000000000002</v>
      </c>
      <c r="O38">
        <v>0.78500000000000003</v>
      </c>
      <c r="P38">
        <v>0.35</v>
      </c>
      <c r="Q38">
        <v>0.52400000000000002</v>
      </c>
      <c r="R38">
        <v>0.12</v>
      </c>
      <c r="S38">
        <v>0.12</v>
      </c>
      <c r="T38">
        <v>0</v>
      </c>
      <c r="V38">
        <v>1</v>
      </c>
      <c r="W38">
        <v>4</v>
      </c>
      <c r="X38">
        <v>0.79400000000000004</v>
      </c>
      <c r="Y38">
        <v>0.54</v>
      </c>
      <c r="Z38">
        <v>0.52400000000000002</v>
      </c>
      <c r="AA38">
        <v>0.78500000000000003</v>
      </c>
      <c r="AB38">
        <v>0.35</v>
      </c>
      <c r="AC38">
        <v>0.52400000000000002</v>
      </c>
      <c r="AD38">
        <v>0.42199999999999999</v>
      </c>
      <c r="AE38">
        <v>0.28999999999999998</v>
      </c>
      <c r="AF38">
        <v>0.13300000000000001</v>
      </c>
      <c r="AH38">
        <v>1</v>
      </c>
      <c r="AI38">
        <v>8</v>
      </c>
      <c r="AJ38">
        <v>0.96599999999999997</v>
      </c>
      <c r="AK38">
        <v>0.62</v>
      </c>
      <c r="AL38">
        <v>0.95199999999999996</v>
      </c>
      <c r="AP38">
        <v>0.99</v>
      </c>
      <c r="AQ38">
        <v>0.99</v>
      </c>
      <c r="AR38">
        <v>1</v>
      </c>
      <c r="AT38">
        <v>1</v>
      </c>
      <c r="AU38">
        <v>8</v>
      </c>
      <c r="AV38">
        <v>0.96599999999999997</v>
      </c>
      <c r="AW38">
        <v>0.62</v>
      </c>
      <c r="AX38">
        <v>0.95199999999999996</v>
      </c>
      <c r="AY38">
        <v>0.94599999999999995</v>
      </c>
      <c r="AZ38">
        <v>0.34</v>
      </c>
      <c r="BA38">
        <v>0.95199999999999996</v>
      </c>
      <c r="BB38">
        <v>0.99</v>
      </c>
      <c r="BC38">
        <v>0.99</v>
      </c>
      <c r="BD38">
        <v>1</v>
      </c>
    </row>
    <row r="39" spans="1:56" x14ac:dyDescent="0.2">
      <c r="A39">
        <v>2</v>
      </c>
      <c r="B39">
        <v>6</v>
      </c>
      <c r="C39">
        <v>1</v>
      </c>
      <c r="D39">
        <v>0.99</v>
      </c>
      <c r="E39">
        <v>1</v>
      </c>
      <c r="F39">
        <v>0.99</v>
      </c>
      <c r="G39">
        <v>1</v>
      </c>
      <c r="H39">
        <v>1</v>
      </c>
      <c r="J39">
        <v>2</v>
      </c>
      <c r="K39">
        <v>8</v>
      </c>
      <c r="L39">
        <v>0.96599999999999997</v>
      </c>
      <c r="M39">
        <v>0.62</v>
      </c>
      <c r="N39">
        <v>0.95199999999999996</v>
      </c>
      <c r="O39">
        <v>0.94599999999999995</v>
      </c>
      <c r="P39">
        <v>0.34</v>
      </c>
      <c r="Q39">
        <v>0.95199999999999996</v>
      </c>
      <c r="R39">
        <v>0.99</v>
      </c>
      <c r="S39">
        <v>0.99</v>
      </c>
      <c r="T39">
        <v>1</v>
      </c>
      <c r="V39">
        <v>2</v>
      </c>
      <c r="W39">
        <v>8</v>
      </c>
      <c r="X39">
        <v>0.96599999999999997</v>
      </c>
      <c r="Y39">
        <v>0.62</v>
      </c>
      <c r="Z39">
        <v>0.95199999999999996</v>
      </c>
      <c r="AA39">
        <v>0.94599999999999995</v>
      </c>
      <c r="AB39">
        <v>0.34</v>
      </c>
      <c r="AC39">
        <v>0.95199999999999996</v>
      </c>
      <c r="AD39">
        <v>0.99</v>
      </c>
      <c r="AE39">
        <v>0.99</v>
      </c>
      <c r="AF39">
        <v>1</v>
      </c>
      <c r="AH39">
        <v>2</v>
      </c>
      <c r="AI39">
        <v>6</v>
      </c>
      <c r="AJ39">
        <v>1</v>
      </c>
      <c r="AK39">
        <v>0.99</v>
      </c>
      <c r="AL39">
        <v>1</v>
      </c>
      <c r="AM39">
        <v>1</v>
      </c>
      <c r="AN39">
        <v>0.99</v>
      </c>
      <c r="AO39">
        <v>1</v>
      </c>
      <c r="AP39">
        <v>1</v>
      </c>
      <c r="AQ39">
        <v>1</v>
      </c>
      <c r="AR39">
        <v>1</v>
      </c>
      <c r="AT39">
        <v>2</v>
      </c>
      <c r="AU39">
        <v>6</v>
      </c>
      <c r="AV39">
        <v>1</v>
      </c>
      <c r="AW39">
        <v>0.99</v>
      </c>
      <c r="AX39">
        <v>1</v>
      </c>
      <c r="AY39">
        <v>1</v>
      </c>
      <c r="AZ39">
        <v>0.99</v>
      </c>
      <c r="BA39">
        <v>1</v>
      </c>
      <c r="BB39">
        <v>1</v>
      </c>
      <c r="BC39">
        <v>1</v>
      </c>
      <c r="BD39">
        <v>1</v>
      </c>
    </row>
    <row r="40" spans="1:56" x14ac:dyDescent="0.2">
      <c r="J40">
        <v>3</v>
      </c>
      <c r="K40">
        <v>6</v>
      </c>
      <c r="L40">
        <v>1</v>
      </c>
      <c r="M40">
        <v>0.99</v>
      </c>
      <c r="N40">
        <v>1</v>
      </c>
      <c r="O40">
        <v>1</v>
      </c>
      <c r="P40">
        <v>0.99</v>
      </c>
      <c r="Q40">
        <v>1</v>
      </c>
      <c r="R40">
        <v>1</v>
      </c>
      <c r="S40">
        <v>1</v>
      </c>
      <c r="T40">
        <v>1</v>
      </c>
      <c r="V40">
        <v>3</v>
      </c>
      <c r="W40">
        <v>4</v>
      </c>
      <c r="X40">
        <v>0.79</v>
      </c>
      <c r="Y40">
        <v>0.52</v>
      </c>
      <c r="Z40">
        <v>0.52400000000000002</v>
      </c>
      <c r="AA40">
        <v>0.77800000000000002</v>
      </c>
      <c r="AB40">
        <v>0.27</v>
      </c>
      <c r="AC40">
        <v>0.52400000000000002</v>
      </c>
      <c r="AD40">
        <v>0.433</v>
      </c>
      <c r="AE40">
        <v>0.41</v>
      </c>
      <c r="AF40">
        <v>0</v>
      </c>
    </row>
    <row r="41" spans="1:56" x14ac:dyDescent="0.2">
      <c r="V41">
        <v>4</v>
      </c>
      <c r="W41">
        <v>6</v>
      </c>
      <c r="X41">
        <v>1</v>
      </c>
      <c r="Y41">
        <v>0.99</v>
      </c>
      <c r="Z41">
        <v>1</v>
      </c>
      <c r="AA41">
        <v>1</v>
      </c>
      <c r="AB41">
        <v>0.99</v>
      </c>
      <c r="AC41">
        <v>1</v>
      </c>
      <c r="AD41">
        <v>1</v>
      </c>
      <c r="AE41">
        <v>1</v>
      </c>
      <c r="AF41">
        <v>1</v>
      </c>
    </row>
    <row r="47" spans="1:56" x14ac:dyDescent="0.2">
      <c r="A47">
        <f>COUNT(A49:A53)</f>
        <v>3</v>
      </c>
      <c r="B47">
        <f>COUNTIF(B49:B53,"&gt;4")</f>
        <v>2</v>
      </c>
      <c r="D47" t="s">
        <v>0</v>
      </c>
      <c r="E47" t="s">
        <v>1</v>
      </c>
      <c r="F47" t="s">
        <v>0</v>
      </c>
      <c r="G47" t="s">
        <v>2</v>
      </c>
      <c r="H47" t="s">
        <v>0</v>
      </c>
      <c r="I47" t="s">
        <v>0</v>
      </c>
      <c r="J47">
        <f>COUNT(J49:J53)</f>
        <v>3</v>
      </c>
      <c r="K47">
        <f>COUNTIF(K49:K53,"&gt;4")</f>
        <v>2</v>
      </c>
      <c r="M47">
        <f>COUNTIF(M49:M53,1)</f>
        <v>0</v>
      </c>
      <c r="N47">
        <f>COUNTIF(N49:N53,1)</f>
        <v>3</v>
      </c>
      <c r="O47">
        <f>COUNTIF(O49:O53,"&gt;0")</f>
        <v>3</v>
      </c>
      <c r="P47">
        <f>COUNTIF(P49:P53,1)</f>
        <v>0</v>
      </c>
      <c r="Q47">
        <f>COUNTIF(Q49:Q53,1)</f>
        <v>3</v>
      </c>
      <c r="S47">
        <f>COUNTIF(S49:S53,1)</f>
        <v>1</v>
      </c>
      <c r="T47">
        <f>COUNTIFS(T49:T53,1,K49:K53,"&gt;4")</f>
        <v>2</v>
      </c>
      <c r="U47" t="s">
        <v>0</v>
      </c>
      <c r="V47">
        <f>COUNT(V49:V53)</f>
        <v>3</v>
      </c>
      <c r="W47">
        <f>COUNTIF(W49:W53,"&gt;4")</f>
        <v>2</v>
      </c>
      <c r="Y47">
        <f>COUNTIF(Y49:Y53,1)</f>
        <v>0</v>
      </c>
      <c r="Z47">
        <f>COUNTIF(Z49:Z53,1)</f>
        <v>3</v>
      </c>
      <c r="AA47">
        <f>COUNTIF(AA49:AA53,"&gt;0")</f>
        <v>3</v>
      </c>
      <c r="AB47">
        <f>COUNTIF(AB49:AB53,1)</f>
        <v>0</v>
      </c>
      <c r="AC47">
        <f>COUNTIF(AC49:AC53,1)</f>
        <v>3</v>
      </c>
      <c r="AE47">
        <f>COUNTIF(AE49:AE53,1)</f>
        <v>1</v>
      </c>
      <c r="AF47">
        <f>COUNTIFS(AF49:AF53,1,W49:W53,"&gt;4")</f>
        <v>2</v>
      </c>
      <c r="AG47" t="s">
        <v>0</v>
      </c>
      <c r="AH47">
        <f>COUNT(AH49:AH53)</f>
        <v>2</v>
      </c>
      <c r="AI47">
        <f>COUNTIF(AI49:AI53,"&gt;4")</f>
        <v>2</v>
      </c>
      <c r="AK47">
        <f>COUNTIF(AK49:AK53,1)</f>
        <v>0</v>
      </c>
      <c r="AL47">
        <f>COUNTIF(AL49:AL53,1)</f>
        <v>2</v>
      </c>
      <c r="AM47">
        <f>COUNTIF(AM49:AM53,"&gt;0")</f>
        <v>2</v>
      </c>
      <c r="AN47">
        <f>COUNTIF(AN49:AN53,1)</f>
        <v>0</v>
      </c>
      <c r="AO47">
        <f>COUNTIF(AO49:AO53,1)</f>
        <v>2</v>
      </c>
      <c r="AQ47">
        <f>COUNTIF(AQ49:AQ53,1)</f>
        <v>1</v>
      </c>
      <c r="AR47">
        <f>COUNTIFS(AR49:AR53,1,AI49:AI53,"&gt;4")</f>
        <v>2</v>
      </c>
      <c r="AS47" t="s">
        <v>0</v>
      </c>
      <c r="AT47">
        <f>COUNT(AT49:AT53)</f>
        <v>2</v>
      </c>
      <c r="AU47">
        <f>COUNTIF(AU49:AU53,"&gt;4")</f>
        <v>2</v>
      </c>
      <c r="AW47">
        <f>COUNTIF(AW49:AW53,1)</f>
        <v>0</v>
      </c>
      <c r="AX47">
        <f>COUNTIF(AX49:AX53,1)</f>
        <v>2</v>
      </c>
      <c r="AY47">
        <f>COUNTIF(AY49:AY53,"&gt;0")</f>
        <v>2</v>
      </c>
      <c r="AZ47">
        <f>COUNTIF(AZ49:AZ53,1)</f>
        <v>0</v>
      </c>
      <c r="BA47">
        <f>COUNTIF(BA49:BA53,1)</f>
        <v>2</v>
      </c>
      <c r="BC47">
        <f>COUNTIF(BC49:BC53,1)</f>
        <v>1</v>
      </c>
      <c r="BD47">
        <f>COUNTIFS(BD49:BD53,1,AU49:AU53,"&gt;4")</f>
        <v>2</v>
      </c>
    </row>
    <row r="48" spans="1:56" x14ac:dyDescent="0.2">
      <c r="A48" t="s">
        <v>3</v>
      </c>
      <c r="B48" t="s">
        <v>4</v>
      </c>
      <c r="C48" t="s">
        <v>5</v>
      </c>
      <c r="D48" t="s">
        <v>6</v>
      </c>
      <c r="E48" t="s">
        <v>5</v>
      </c>
      <c r="F48" t="s">
        <v>6</v>
      </c>
      <c r="G48" t="s">
        <v>5</v>
      </c>
      <c r="H48" t="s">
        <v>6</v>
      </c>
      <c r="I48" t="s">
        <v>0</v>
      </c>
      <c r="J48" t="s">
        <v>3</v>
      </c>
      <c r="K48" t="s">
        <v>4</v>
      </c>
      <c r="L48" t="s">
        <v>5</v>
      </c>
      <c r="M48" t="s">
        <v>6</v>
      </c>
      <c r="N48" t="s">
        <v>7</v>
      </c>
      <c r="O48" t="s">
        <v>5</v>
      </c>
      <c r="P48" t="s">
        <v>6</v>
      </c>
      <c r="Q48" t="s">
        <v>8</v>
      </c>
      <c r="R48" t="s">
        <v>5</v>
      </c>
      <c r="S48" t="s">
        <v>6</v>
      </c>
      <c r="T48" t="s">
        <v>7</v>
      </c>
      <c r="U48" t="s">
        <v>0</v>
      </c>
      <c r="V48" t="s">
        <v>3</v>
      </c>
      <c r="W48" t="s">
        <v>4</v>
      </c>
      <c r="X48" t="s">
        <v>5</v>
      </c>
      <c r="Y48" t="s">
        <v>6</v>
      </c>
      <c r="Z48" t="s">
        <v>7</v>
      </c>
      <c r="AA48" t="s">
        <v>5</v>
      </c>
      <c r="AB48" t="s">
        <v>6</v>
      </c>
      <c r="AC48" t="s">
        <v>7</v>
      </c>
      <c r="AD48" t="s">
        <v>5</v>
      </c>
      <c r="AE48" t="s">
        <v>6</v>
      </c>
      <c r="AF48" t="s">
        <v>7</v>
      </c>
      <c r="AG48" t="s">
        <v>0</v>
      </c>
      <c r="AH48" t="s">
        <v>3</v>
      </c>
      <c r="AI48" t="s">
        <v>4</v>
      </c>
      <c r="AJ48" t="s">
        <v>5</v>
      </c>
      <c r="AK48" t="s">
        <v>6</v>
      </c>
      <c r="AL48" t="s">
        <v>7</v>
      </c>
      <c r="AM48" t="s">
        <v>5</v>
      </c>
      <c r="AN48" t="s">
        <v>6</v>
      </c>
      <c r="AO48" t="s">
        <v>7</v>
      </c>
      <c r="AP48" t="s">
        <v>5</v>
      </c>
      <c r="AQ48" t="s">
        <v>6</v>
      </c>
      <c r="AR48" t="s">
        <v>7</v>
      </c>
      <c r="AS48" t="s">
        <v>0</v>
      </c>
      <c r="AT48" t="s">
        <v>3</v>
      </c>
      <c r="AU48" t="s">
        <v>4</v>
      </c>
      <c r="AV48" t="s">
        <v>5</v>
      </c>
      <c r="AW48" t="s">
        <v>6</v>
      </c>
      <c r="AX48" t="s">
        <v>7</v>
      </c>
      <c r="AY48" t="s">
        <v>5</v>
      </c>
      <c r="AZ48" t="s">
        <v>6</v>
      </c>
      <c r="BA48" t="s">
        <v>7</v>
      </c>
      <c r="BB48" t="s">
        <v>5</v>
      </c>
      <c r="BC48" t="s">
        <v>6</v>
      </c>
      <c r="BD48" t="s">
        <v>7</v>
      </c>
    </row>
    <row r="49" spans="1:56" x14ac:dyDescent="0.2">
      <c r="A49">
        <v>1</v>
      </c>
      <c r="B49">
        <v>4</v>
      </c>
      <c r="C49">
        <v>0.69699999999999995</v>
      </c>
      <c r="D49">
        <v>0.51</v>
      </c>
      <c r="E49">
        <v>0.69699999999999995</v>
      </c>
      <c r="F49">
        <v>0.51</v>
      </c>
      <c r="G49">
        <v>0.19</v>
      </c>
      <c r="H49">
        <v>0.19</v>
      </c>
      <c r="J49">
        <v>1</v>
      </c>
      <c r="K49">
        <v>4</v>
      </c>
      <c r="L49">
        <v>0.69699999999999995</v>
      </c>
      <c r="M49">
        <v>0.51</v>
      </c>
      <c r="N49">
        <v>1</v>
      </c>
      <c r="O49">
        <v>0.69699999999999995</v>
      </c>
      <c r="P49">
        <v>0.51</v>
      </c>
      <c r="Q49">
        <v>1</v>
      </c>
      <c r="R49">
        <v>0.27600000000000002</v>
      </c>
      <c r="S49">
        <v>0.17</v>
      </c>
      <c r="T49">
        <v>0.125</v>
      </c>
      <c r="V49">
        <v>1</v>
      </c>
      <c r="W49">
        <v>4</v>
      </c>
      <c r="X49">
        <v>0.69699999999999995</v>
      </c>
      <c r="Y49">
        <v>0.51</v>
      </c>
      <c r="Z49">
        <v>1</v>
      </c>
      <c r="AA49">
        <v>0.69699999999999995</v>
      </c>
      <c r="AB49">
        <v>0.51</v>
      </c>
      <c r="AC49">
        <v>1</v>
      </c>
      <c r="AD49">
        <v>0.19</v>
      </c>
      <c r="AE49">
        <v>0.19</v>
      </c>
      <c r="AF49">
        <v>1</v>
      </c>
      <c r="AH49">
        <v>1</v>
      </c>
      <c r="AI49">
        <v>7</v>
      </c>
      <c r="AJ49">
        <v>0.995</v>
      </c>
      <c r="AK49">
        <v>0.9</v>
      </c>
      <c r="AL49">
        <v>1</v>
      </c>
      <c r="AM49">
        <v>0.995</v>
      </c>
      <c r="AN49">
        <v>0.9</v>
      </c>
      <c r="AO49">
        <v>1</v>
      </c>
      <c r="AP49">
        <v>1</v>
      </c>
      <c r="AQ49">
        <v>1</v>
      </c>
      <c r="AR49">
        <v>1</v>
      </c>
      <c r="AT49">
        <v>1</v>
      </c>
      <c r="AU49">
        <v>7</v>
      </c>
      <c r="AV49">
        <v>0.995</v>
      </c>
      <c r="AW49">
        <v>0.9</v>
      </c>
      <c r="AX49">
        <v>1</v>
      </c>
      <c r="AY49">
        <v>0.995</v>
      </c>
      <c r="AZ49">
        <v>0.9</v>
      </c>
      <c r="BA49">
        <v>1</v>
      </c>
      <c r="BB49">
        <v>1</v>
      </c>
      <c r="BC49">
        <v>1</v>
      </c>
      <c r="BD49">
        <v>1</v>
      </c>
    </row>
    <row r="50" spans="1:56" x14ac:dyDescent="0.2">
      <c r="A50">
        <v>2</v>
      </c>
      <c r="B50">
        <v>7</v>
      </c>
      <c r="C50">
        <v>0.995</v>
      </c>
      <c r="D50">
        <v>0.9</v>
      </c>
      <c r="E50">
        <v>0.995</v>
      </c>
      <c r="F50">
        <v>0.9</v>
      </c>
      <c r="G50">
        <v>1</v>
      </c>
      <c r="H50">
        <v>1</v>
      </c>
      <c r="J50">
        <v>2</v>
      </c>
      <c r="K50">
        <v>7</v>
      </c>
      <c r="L50">
        <v>0.995</v>
      </c>
      <c r="M50">
        <v>0.9</v>
      </c>
      <c r="N50">
        <v>1</v>
      </c>
      <c r="O50">
        <v>0.995</v>
      </c>
      <c r="P50">
        <v>0.9</v>
      </c>
      <c r="Q50">
        <v>1</v>
      </c>
      <c r="R50">
        <v>1</v>
      </c>
      <c r="S50">
        <v>1</v>
      </c>
      <c r="T50">
        <v>1</v>
      </c>
      <c r="V50">
        <v>2</v>
      </c>
      <c r="W50">
        <v>7</v>
      </c>
      <c r="X50">
        <v>0.995</v>
      </c>
      <c r="Y50">
        <v>0.9</v>
      </c>
      <c r="Z50">
        <v>1</v>
      </c>
      <c r="AA50">
        <v>0.995</v>
      </c>
      <c r="AB50">
        <v>0.9</v>
      </c>
      <c r="AC50">
        <v>1</v>
      </c>
      <c r="AD50">
        <v>1</v>
      </c>
      <c r="AE50">
        <v>1</v>
      </c>
      <c r="AF50">
        <v>1</v>
      </c>
      <c r="AH50">
        <v>2</v>
      </c>
      <c r="AI50">
        <v>6</v>
      </c>
      <c r="AJ50">
        <v>0.996</v>
      </c>
      <c r="AK50">
        <v>0.91</v>
      </c>
      <c r="AL50">
        <v>1</v>
      </c>
      <c r="AM50">
        <v>0.996</v>
      </c>
      <c r="AN50">
        <v>0.91</v>
      </c>
      <c r="AO50">
        <v>1</v>
      </c>
      <c r="AP50">
        <v>0.98099999999999998</v>
      </c>
      <c r="AQ50">
        <v>0.98</v>
      </c>
      <c r="AR50">
        <v>1</v>
      </c>
      <c r="AT50">
        <v>2</v>
      </c>
      <c r="AU50">
        <v>6</v>
      </c>
      <c r="AV50">
        <v>0.996</v>
      </c>
      <c r="AW50">
        <v>0.91</v>
      </c>
      <c r="AX50">
        <v>1</v>
      </c>
      <c r="AY50">
        <v>0.996</v>
      </c>
      <c r="AZ50">
        <v>0.91</v>
      </c>
      <c r="BA50">
        <v>1</v>
      </c>
      <c r="BB50">
        <v>0.98099999999999998</v>
      </c>
      <c r="BC50">
        <v>0.98</v>
      </c>
      <c r="BD50">
        <v>1</v>
      </c>
    </row>
    <row r="51" spans="1:56" x14ac:dyDescent="0.2">
      <c r="A51">
        <v>3</v>
      </c>
      <c r="B51">
        <v>6</v>
      </c>
      <c r="C51">
        <v>0.996</v>
      </c>
      <c r="D51">
        <v>0.91</v>
      </c>
      <c r="E51">
        <v>0.996</v>
      </c>
      <c r="F51">
        <v>0.91</v>
      </c>
      <c r="G51">
        <v>0.98099999999999998</v>
      </c>
      <c r="H51">
        <v>0.98</v>
      </c>
      <c r="J51">
        <v>3</v>
      </c>
      <c r="K51">
        <v>6</v>
      </c>
      <c r="L51">
        <v>0.996</v>
      </c>
      <c r="M51">
        <v>0.91</v>
      </c>
      <c r="N51">
        <v>1</v>
      </c>
      <c r="O51">
        <v>0.996</v>
      </c>
      <c r="P51">
        <v>0.91</v>
      </c>
      <c r="Q51">
        <v>1</v>
      </c>
      <c r="R51">
        <v>0.98099999999999998</v>
      </c>
      <c r="S51">
        <v>0.98</v>
      </c>
      <c r="T51">
        <v>1</v>
      </c>
      <c r="V51">
        <v>3</v>
      </c>
      <c r="W51">
        <v>6</v>
      </c>
      <c r="X51">
        <v>0.996</v>
      </c>
      <c r="Y51">
        <v>0.91</v>
      </c>
      <c r="Z51">
        <v>1</v>
      </c>
      <c r="AA51">
        <v>0.996</v>
      </c>
      <c r="AB51">
        <v>0.91</v>
      </c>
      <c r="AC51">
        <v>1</v>
      </c>
      <c r="AD51">
        <v>0.98099999999999998</v>
      </c>
      <c r="AE51">
        <v>0.98</v>
      </c>
      <c r="AF51">
        <v>1</v>
      </c>
    </row>
    <row r="56" spans="1:56" x14ac:dyDescent="0.2">
      <c r="A56">
        <f>COUNT(A58:A62)</f>
        <v>2</v>
      </c>
      <c r="B56">
        <f>COUNTIF(B58:B62,"&gt;4")</f>
        <v>2</v>
      </c>
      <c r="D56" t="s">
        <v>0</v>
      </c>
      <c r="E56" t="s">
        <v>1</v>
      </c>
      <c r="F56" t="s">
        <v>0</v>
      </c>
      <c r="G56" t="s">
        <v>2</v>
      </c>
      <c r="H56" t="s">
        <v>0</v>
      </c>
      <c r="I56" t="s">
        <v>0</v>
      </c>
      <c r="J56">
        <f>COUNT(J58:J62)</f>
        <v>4</v>
      </c>
      <c r="K56">
        <f>COUNTIF(K58:K62,"&gt;4")</f>
        <v>1</v>
      </c>
      <c r="M56">
        <f>COUNTIF(M58:M62,1)</f>
        <v>0</v>
      </c>
      <c r="N56">
        <f>COUNTIF(N58:N62,1)</f>
        <v>0</v>
      </c>
      <c r="O56">
        <f>COUNTIF(O58:O62,"&gt;0")</f>
        <v>4</v>
      </c>
      <c r="P56">
        <f>COUNTIF(P58:P62,1)</f>
        <v>0</v>
      </c>
      <c r="Q56">
        <f>COUNTIF(Q58:Q62,1)</f>
        <v>0</v>
      </c>
      <c r="S56">
        <f>COUNTIF(S58:S62,1)</f>
        <v>0</v>
      </c>
      <c r="T56">
        <f>COUNTIFS(T58:T62,1,K58:K62,"&gt;4")</f>
        <v>1</v>
      </c>
      <c r="U56" t="s">
        <v>0</v>
      </c>
      <c r="V56">
        <f>COUNT(V58:V62)</f>
        <v>3</v>
      </c>
      <c r="W56">
        <f>COUNTIF(W58:W62,"&gt;4")</f>
        <v>1</v>
      </c>
      <c r="Y56">
        <f>COUNTIF(Y58:Y62,1)</f>
        <v>0</v>
      </c>
      <c r="Z56">
        <f>COUNTIF(Z58:Z62,1)</f>
        <v>1</v>
      </c>
      <c r="AA56">
        <f>COUNTIF(AA58:AA62,"&gt;0")</f>
        <v>3</v>
      </c>
      <c r="AB56">
        <f>COUNTIF(AB58:AB62,1)</f>
        <v>0</v>
      </c>
      <c r="AC56">
        <f>COUNTIF(AC58:AC62,1)</f>
        <v>1</v>
      </c>
      <c r="AE56">
        <f>COUNTIF(AE58:AE62,1)</f>
        <v>0</v>
      </c>
      <c r="AF56">
        <f>COUNTIFS(AF58:AF62,1,W58:W62,"&gt;4")</f>
        <v>1</v>
      </c>
      <c r="AG56" t="s">
        <v>0</v>
      </c>
      <c r="AH56">
        <f>COUNT(AH58:AH62)</f>
        <v>3</v>
      </c>
      <c r="AI56">
        <f>COUNTIF(AI58:AI62,"&gt;4")</f>
        <v>1</v>
      </c>
      <c r="AK56">
        <f>COUNTIF(AK58:AK62,1)</f>
        <v>0</v>
      </c>
      <c r="AL56">
        <f>COUNTIF(AL58:AL62,1)</f>
        <v>0</v>
      </c>
      <c r="AM56">
        <f>COUNTIF(AM58:AM62,"&gt;0")</f>
        <v>3</v>
      </c>
      <c r="AN56">
        <f>COUNTIF(AN58:AN62,1)</f>
        <v>0</v>
      </c>
      <c r="AO56">
        <f>COUNTIF(AO58:AO62,1)</f>
        <v>0</v>
      </c>
      <c r="AQ56">
        <f>COUNTIF(AQ58:AQ62,1)</f>
        <v>0</v>
      </c>
      <c r="AR56">
        <f>COUNTIFS(AR58:AR62,1,AI58:AI62,"&gt;4")</f>
        <v>1</v>
      </c>
      <c r="AS56" t="s">
        <v>0</v>
      </c>
      <c r="AT56">
        <f>COUNT(AT58:AT62)</f>
        <v>2</v>
      </c>
      <c r="AU56">
        <f>COUNTIF(AU58:AU62,"&gt;4")</f>
        <v>1</v>
      </c>
      <c r="AW56">
        <f>COUNTIF(AW58:AW62,1)</f>
        <v>0</v>
      </c>
      <c r="AX56">
        <f>COUNTIF(AX58:AX62,1)</f>
        <v>0</v>
      </c>
      <c r="AY56">
        <f>COUNTIF(AY58:AY62,"&gt;0")</f>
        <v>2</v>
      </c>
      <c r="AZ56">
        <f>COUNTIF(AZ58:AZ62,1)</f>
        <v>0</v>
      </c>
      <c r="BA56">
        <f>COUNTIF(BA58:BA62,1)</f>
        <v>0</v>
      </c>
      <c r="BC56">
        <f>COUNTIF(BC58:BC62,1)</f>
        <v>0</v>
      </c>
      <c r="BD56">
        <f>COUNTIFS(BD58:BD62,1,AU58:AU62,"&gt;4")</f>
        <v>1</v>
      </c>
    </row>
    <row r="57" spans="1:56" x14ac:dyDescent="0.2">
      <c r="A57" t="s">
        <v>3</v>
      </c>
      <c r="B57" t="s">
        <v>4</v>
      </c>
      <c r="C57" t="s">
        <v>5</v>
      </c>
      <c r="D57" t="s">
        <v>6</v>
      </c>
      <c r="E57" t="s">
        <v>5</v>
      </c>
      <c r="F57" t="s">
        <v>6</v>
      </c>
      <c r="G57" t="s">
        <v>5</v>
      </c>
      <c r="H57" t="s">
        <v>6</v>
      </c>
      <c r="I57" t="s">
        <v>0</v>
      </c>
      <c r="J57" t="s">
        <v>3</v>
      </c>
      <c r="K57" t="s">
        <v>4</v>
      </c>
      <c r="L57" t="s">
        <v>5</v>
      </c>
      <c r="M57" t="s">
        <v>6</v>
      </c>
      <c r="N57" t="s">
        <v>7</v>
      </c>
      <c r="O57" t="s">
        <v>5</v>
      </c>
      <c r="P57" t="s">
        <v>6</v>
      </c>
      <c r="Q57" t="s">
        <v>8</v>
      </c>
      <c r="R57" t="s">
        <v>5</v>
      </c>
      <c r="S57" t="s">
        <v>6</v>
      </c>
      <c r="T57" t="s">
        <v>7</v>
      </c>
      <c r="U57" t="s">
        <v>0</v>
      </c>
      <c r="V57" t="s">
        <v>3</v>
      </c>
      <c r="W57" t="s">
        <v>4</v>
      </c>
      <c r="X57" t="s">
        <v>5</v>
      </c>
      <c r="Y57" t="s">
        <v>6</v>
      </c>
      <c r="Z57" t="s">
        <v>7</v>
      </c>
      <c r="AA57" t="s">
        <v>5</v>
      </c>
      <c r="AB57" t="s">
        <v>6</v>
      </c>
      <c r="AC57" t="s">
        <v>7</v>
      </c>
      <c r="AD57" t="s">
        <v>5</v>
      </c>
      <c r="AE57" t="s">
        <v>6</v>
      </c>
      <c r="AF57" t="s">
        <v>7</v>
      </c>
      <c r="AG57" t="s">
        <v>0</v>
      </c>
      <c r="AH57" t="s">
        <v>3</v>
      </c>
      <c r="AI57" t="s">
        <v>4</v>
      </c>
      <c r="AJ57" t="s">
        <v>5</v>
      </c>
      <c r="AK57" t="s">
        <v>6</v>
      </c>
      <c r="AL57" t="s">
        <v>7</v>
      </c>
      <c r="AM57" t="s">
        <v>5</v>
      </c>
      <c r="AN57" t="s">
        <v>6</v>
      </c>
      <c r="AO57" t="s">
        <v>7</v>
      </c>
      <c r="AP57" t="s">
        <v>5</v>
      </c>
      <c r="AQ57" t="s">
        <v>6</v>
      </c>
      <c r="AR57" t="s">
        <v>7</v>
      </c>
      <c r="AS57" t="s">
        <v>0</v>
      </c>
      <c r="AT57" t="s">
        <v>3</v>
      </c>
      <c r="AU57" t="s">
        <v>4</v>
      </c>
      <c r="AV57" t="s">
        <v>5</v>
      </c>
      <c r="AW57" t="s">
        <v>6</v>
      </c>
      <c r="AX57" t="s">
        <v>7</v>
      </c>
      <c r="AY57" t="s">
        <v>5</v>
      </c>
      <c r="AZ57" t="s">
        <v>6</v>
      </c>
      <c r="BA57" t="s">
        <v>7</v>
      </c>
      <c r="BB57" t="s">
        <v>5</v>
      </c>
      <c r="BC57" t="s">
        <v>6</v>
      </c>
      <c r="BD57" t="s">
        <v>7</v>
      </c>
    </row>
    <row r="58" spans="1:56" x14ac:dyDescent="0.2">
      <c r="A58">
        <v>1</v>
      </c>
      <c r="B58">
        <v>7</v>
      </c>
      <c r="C58">
        <v>0.93100000000000005</v>
      </c>
      <c r="D58">
        <v>0.38</v>
      </c>
      <c r="E58">
        <v>0.93</v>
      </c>
      <c r="F58">
        <v>0.38</v>
      </c>
      <c r="G58">
        <v>0.88100000000000001</v>
      </c>
      <c r="H58">
        <v>0.87</v>
      </c>
      <c r="J58">
        <v>1</v>
      </c>
      <c r="K58">
        <v>4</v>
      </c>
      <c r="L58">
        <v>0.84799999999999998</v>
      </c>
      <c r="M58">
        <v>0.18</v>
      </c>
      <c r="N58">
        <v>0.85699999999999998</v>
      </c>
      <c r="O58">
        <v>0.84799999999999998</v>
      </c>
      <c r="P58">
        <v>0.18</v>
      </c>
      <c r="Q58">
        <v>0.85699999999999998</v>
      </c>
      <c r="R58">
        <v>0.14000000000000001</v>
      </c>
      <c r="S58">
        <v>0.14000000000000001</v>
      </c>
      <c r="T58">
        <v>0</v>
      </c>
      <c r="V58">
        <v>1</v>
      </c>
      <c r="W58">
        <v>7</v>
      </c>
      <c r="X58">
        <v>0.93100000000000005</v>
      </c>
      <c r="Y58">
        <v>0.38</v>
      </c>
      <c r="Z58">
        <v>1</v>
      </c>
      <c r="AA58">
        <v>0.93</v>
      </c>
      <c r="AB58">
        <v>0.38</v>
      </c>
      <c r="AC58">
        <v>1</v>
      </c>
      <c r="AD58">
        <v>0.88100000000000001</v>
      </c>
      <c r="AE58">
        <v>0.87</v>
      </c>
      <c r="AF58">
        <v>1</v>
      </c>
      <c r="AH58">
        <v>1</v>
      </c>
      <c r="AI58">
        <v>5</v>
      </c>
      <c r="AJ58">
        <v>0.94399999999999995</v>
      </c>
      <c r="AK58">
        <v>0.36</v>
      </c>
      <c r="AL58">
        <v>0.90500000000000003</v>
      </c>
      <c r="AM58">
        <v>0.94399999999999995</v>
      </c>
      <c r="AN58">
        <v>0.36</v>
      </c>
      <c r="AO58">
        <v>0.90500000000000003</v>
      </c>
      <c r="AP58">
        <v>0.88100000000000001</v>
      </c>
      <c r="AQ58">
        <v>0.87</v>
      </c>
      <c r="AR58">
        <v>1</v>
      </c>
      <c r="AT58">
        <v>1</v>
      </c>
      <c r="AU58">
        <v>5</v>
      </c>
      <c r="AV58">
        <v>0.94399999999999995</v>
      </c>
      <c r="AW58">
        <v>0.36</v>
      </c>
      <c r="AX58">
        <v>0.90500000000000003</v>
      </c>
      <c r="AY58">
        <v>0.94399999999999995</v>
      </c>
      <c r="AZ58">
        <v>0.36</v>
      </c>
      <c r="BA58">
        <v>0.90500000000000003</v>
      </c>
      <c r="BB58">
        <v>0.88100000000000001</v>
      </c>
      <c r="BC58">
        <v>0.87</v>
      </c>
      <c r="BD58">
        <v>1</v>
      </c>
    </row>
    <row r="59" spans="1:56" x14ac:dyDescent="0.2">
      <c r="A59">
        <v>2</v>
      </c>
      <c r="B59">
        <v>6</v>
      </c>
      <c r="C59">
        <v>0.92700000000000005</v>
      </c>
      <c r="D59">
        <v>0.22</v>
      </c>
      <c r="E59">
        <v>0.92700000000000005</v>
      </c>
      <c r="F59">
        <v>0.22</v>
      </c>
      <c r="G59">
        <v>0.23</v>
      </c>
      <c r="H59">
        <v>0.23</v>
      </c>
      <c r="J59">
        <v>2</v>
      </c>
      <c r="K59">
        <v>5</v>
      </c>
      <c r="L59">
        <v>0.94399999999999995</v>
      </c>
      <c r="M59">
        <v>0.36</v>
      </c>
      <c r="N59">
        <v>0.90500000000000003</v>
      </c>
      <c r="O59">
        <v>0.94399999999999995</v>
      </c>
      <c r="P59">
        <v>0.36</v>
      </c>
      <c r="Q59">
        <v>0.90500000000000003</v>
      </c>
      <c r="R59">
        <v>0.88100000000000001</v>
      </c>
      <c r="S59">
        <v>0.87</v>
      </c>
      <c r="T59">
        <v>1</v>
      </c>
      <c r="V59">
        <v>2</v>
      </c>
      <c r="W59">
        <v>4</v>
      </c>
      <c r="X59">
        <v>0.96699999999999997</v>
      </c>
      <c r="Y59">
        <v>0.7</v>
      </c>
      <c r="Z59">
        <v>0.90500000000000003</v>
      </c>
      <c r="AA59">
        <v>0.96699999999999997</v>
      </c>
      <c r="AB59">
        <v>0.7</v>
      </c>
      <c r="AC59">
        <v>0.90500000000000003</v>
      </c>
      <c r="AD59">
        <v>0.69</v>
      </c>
      <c r="AE59">
        <v>0.69</v>
      </c>
      <c r="AF59">
        <v>0.28599999999999998</v>
      </c>
      <c r="AH59">
        <v>2</v>
      </c>
      <c r="AI59">
        <v>4</v>
      </c>
      <c r="AJ59">
        <v>0.96699999999999997</v>
      </c>
      <c r="AK59">
        <v>0.7</v>
      </c>
      <c r="AL59">
        <v>0.90500000000000003</v>
      </c>
      <c r="AM59">
        <v>0.96699999999999997</v>
      </c>
      <c r="AN59">
        <v>0.7</v>
      </c>
      <c r="AO59">
        <v>0.90500000000000003</v>
      </c>
      <c r="AP59">
        <v>0.69</v>
      </c>
      <c r="AQ59">
        <v>0.69</v>
      </c>
      <c r="AR59">
        <v>0.28599999999999998</v>
      </c>
      <c r="AT59">
        <v>2</v>
      </c>
      <c r="AU59">
        <v>4</v>
      </c>
      <c r="AV59">
        <v>0.97499999999999998</v>
      </c>
      <c r="AW59">
        <v>0.74</v>
      </c>
      <c r="AX59">
        <v>0.90500000000000003</v>
      </c>
      <c r="AY59">
        <v>0.97499999999999998</v>
      </c>
      <c r="AZ59">
        <v>0.74</v>
      </c>
      <c r="BA59">
        <v>0.90500000000000003</v>
      </c>
      <c r="BB59">
        <v>0.79</v>
      </c>
      <c r="BC59">
        <v>0.79</v>
      </c>
      <c r="BD59">
        <v>0.28599999999999998</v>
      </c>
    </row>
    <row r="60" spans="1:56" x14ac:dyDescent="0.2">
      <c r="J60">
        <v>3</v>
      </c>
      <c r="K60">
        <v>4</v>
      </c>
      <c r="L60">
        <v>0.96699999999999997</v>
      </c>
      <c r="M60">
        <v>0.7</v>
      </c>
      <c r="N60">
        <v>0.90500000000000003</v>
      </c>
      <c r="O60">
        <v>0.96699999999999997</v>
      </c>
      <c r="P60">
        <v>0.7</v>
      </c>
      <c r="Q60">
        <v>0.90500000000000003</v>
      </c>
      <c r="R60">
        <v>0.69</v>
      </c>
      <c r="S60">
        <v>0.69</v>
      </c>
      <c r="T60">
        <v>0.28599999999999998</v>
      </c>
      <c r="V60">
        <v>3</v>
      </c>
      <c r="W60">
        <v>4</v>
      </c>
      <c r="X60">
        <v>0.97499999999999998</v>
      </c>
      <c r="Y60">
        <v>0.74</v>
      </c>
      <c r="Z60">
        <v>0.90500000000000003</v>
      </c>
      <c r="AA60">
        <v>0.97499999999999998</v>
      </c>
      <c r="AB60">
        <v>0.74</v>
      </c>
      <c r="AC60">
        <v>0.90500000000000003</v>
      </c>
      <c r="AD60">
        <v>0.79</v>
      </c>
      <c r="AE60">
        <v>0.79</v>
      </c>
      <c r="AF60">
        <v>0.28599999999999998</v>
      </c>
      <c r="AH60">
        <v>3</v>
      </c>
      <c r="AI60">
        <v>4</v>
      </c>
      <c r="AJ60">
        <v>0.97499999999999998</v>
      </c>
      <c r="AK60">
        <v>0.74</v>
      </c>
      <c r="AL60">
        <v>0.90500000000000003</v>
      </c>
      <c r="AM60">
        <v>0.97499999999999998</v>
      </c>
      <c r="AN60">
        <v>0.74</v>
      </c>
      <c r="AO60">
        <v>0.90500000000000003</v>
      </c>
      <c r="AP60">
        <v>0.79</v>
      </c>
      <c r="AQ60">
        <v>0.79</v>
      </c>
      <c r="AR60">
        <v>0.28599999999999998</v>
      </c>
    </row>
    <row r="61" spans="1:56" x14ac:dyDescent="0.2">
      <c r="J61">
        <v>4</v>
      </c>
      <c r="K61">
        <v>4</v>
      </c>
      <c r="L61">
        <v>0.97499999999999998</v>
      </c>
      <c r="M61">
        <v>0.74</v>
      </c>
      <c r="N61">
        <v>0.90500000000000003</v>
      </c>
      <c r="O61">
        <v>0.97499999999999998</v>
      </c>
      <c r="P61">
        <v>0.74</v>
      </c>
      <c r="Q61">
        <v>0.90500000000000003</v>
      </c>
      <c r="R61">
        <v>0.79</v>
      </c>
      <c r="S61">
        <v>0.79</v>
      </c>
      <c r="T61">
        <v>0.28599999999999998</v>
      </c>
    </row>
    <row r="66" spans="1:56" x14ac:dyDescent="0.2">
      <c r="A66">
        <f>COUNT(A68:A72)</f>
        <v>4</v>
      </c>
      <c r="B66">
        <f>COUNTIF(B68:B72,"&gt;4")</f>
        <v>1</v>
      </c>
      <c r="D66" t="s">
        <v>0</v>
      </c>
      <c r="E66" t="s">
        <v>1</v>
      </c>
      <c r="F66" t="s">
        <v>0</v>
      </c>
      <c r="G66" t="s">
        <v>2</v>
      </c>
      <c r="H66" t="s">
        <v>0</v>
      </c>
      <c r="I66" t="s">
        <v>0</v>
      </c>
      <c r="J66">
        <f>COUNT(J68:J72)</f>
        <v>3</v>
      </c>
      <c r="K66">
        <f>COUNTIF(K68:K72,"&gt;4")</f>
        <v>0</v>
      </c>
      <c r="M66">
        <f>COUNTIF(M68:M72,1)</f>
        <v>0</v>
      </c>
      <c r="N66">
        <f>COUNTIF(N68:N72,1)</f>
        <v>1</v>
      </c>
      <c r="O66">
        <f>COUNTIF(O68:O72,"&gt;0")</f>
        <v>3</v>
      </c>
      <c r="P66">
        <f>COUNTIF(P68:P72,1)</f>
        <v>0</v>
      </c>
      <c r="Q66">
        <f>COUNTIF(Q68:Q72,1)</f>
        <v>1</v>
      </c>
      <c r="S66">
        <f>COUNTIF(S68:S72,1)</f>
        <v>0</v>
      </c>
      <c r="T66">
        <f>COUNTIFS(T68:T72,1,K68:K72,"&gt;4")</f>
        <v>0</v>
      </c>
      <c r="U66" t="s">
        <v>0</v>
      </c>
      <c r="V66">
        <f>COUNT(V68:V72)</f>
        <v>5</v>
      </c>
      <c r="W66">
        <f>COUNTIF(W68:W72,"&gt;4")</f>
        <v>0</v>
      </c>
      <c r="Y66">
        <f>COUNTIF(Y68:Y72,1)</f>
        <v>0</v>
      </c>
      <c r="Z66">
        <f>COUNTIF(Z68:Z72,1)</f>
        <v>1</v>
      </c>
      <c r="AA66">
        <f>COUNTIF(AA68:AA72,"&gt;0")</f>
        <v>5</v>
      </c>
      <c r="AB66">
        <f>COUNTIF(AB68:AB72,1)</f>
        <v>0</v>
      </c>
      <c r="AC66">
        <f>COUNTIF(AC68:AC72,1)</f>
        <v>1</v>
      </c>
      <c r="AE66">
        <f>COUNTIF(AE68:AE72,1)</f>
        <v>0</v>
      </c>
      <c r="AF66">
        <f>COUNTIFS(AF68:AF72,1,W68:W72,"&gt;4")</f>
        <v>0</v>
      </c>
      <c r="AG66" t="s">
        <v>0</v>
      </c>
      <c r="AH66">
        <f>COUNT(AH68:AH72)</f>
        <v>1</v>
      </c>
      <c r="AI66">
        <f>COUNTIF(AI68:AI72,"&gt;4")</f>
        <v>0</v>
      </c>
      <c r="AK66">
        <f>COUNTIF(AK68:AK72,1)</f>
        <v>0</v>
      </c>
      <c r="AL66">
        <f>COUNTIF(AL68:AL72,1)</f>
        <v>0</v>
      </c>
      <c r="AM66">
        <f>COUNTIF(AM68:AM72,"&gt;0")</f>
        <v>1</v>
      </c>
      <c r="AN66">
        <f>COUNTIF(AN68:AN72,1)</f>
        <v>0</v>
      </c>
      <c r="AO66">
        <f>COUNTIF(AO68:AO72,1)</f>
        <v>0</v>
      </c>
      <c r="AQ66">
        <f>COUNTIF(AQ68:AQ72,1)</f>
        <v>0</v>
      </c>
      <c r="AR66">
        <f>COUNTIFS(AR68:AR72,1,AI68:AI72,"&gt;4")</f>
        <v>0</v>
      </c>
      <c r="AS66" t="s">
        <v>0</v>
      </c>
      <c r="AT66">
        <f>COUNT(AT68:AT72)</f>
        <v>0</v>
      </c>
      <c r="AU66">
        <f>COUNTIF(AU68:AU72,"&gt;4")</f>
        <v>0</v>
      </c>
      <c r="AW66">
        <f>COUNTIF(AW68:AW72,1)</f>
        <v>0</v>
      </c>
      <c r="AX66">
        <f>COUNTIF(AX68:AX72,1)</f>
        <v>0</v>
      </c>
      <c r="AY66">
        <f>COUNTIF(AY68:AY72,"&gt;0")</f>
        <v>0</v>
      </c>
      <c r="AZ66">
        <f>COUNTIF(AZ68:AZ72,1)</f>
        <v>0</v>
      </c>
      <c r="BA66">
        <f>COUNTIF(BA68:BA72,1)</f>
        <v>0</v>
      </c>
      <c r="BC66">
        <f>COUNTIF(BC68:BC72,1)</f>
        <v>0</v>
      </c>
      <c r="BD66">
        <f>COUNTIFS(BD68:BD72,1,AU68:AU72,"&gt;4")</f>
        <v>0</v>
      </c>
    </row>
    <row r="67" spans="1:56" x14ac:dyDescent="0.2">
      <c r="A67" t="s">
        <v>3</v>
      </c>
      <c r="B67" t="s">
        <v>4</v>
      </c>
      <c r="C67" t="s">
        <v>5</v>
      </c>
      <c r="D67" t="s">
        <v>6</v>
      </c>
      <c r="E67" t="s">
        <v>5</v>
      </c>
      <c r="F67" t="s">
        <v>6</v>
      </c>
      <c r="G67" t="s">
        <v>5</v>
      </c>
      <c r="H67" t="s">
        <v>6</v>
      </c>
      <c r="I67" t="s">
        <v>0</v>
      </c>
      <c r="J67" t="s">
        <v>3</v>
      </c>
      <c r="K67" t="s">
        <v>4</v>
      </c>
      <c r="L67" t="s">
        <v>5</v>
      </c>
      <c r="M67" t="s">
        <v>6</v>
      </c>
      <c r="N67" t="s">
        <v>7</v>
      </c>
      <c r="O67" t="s">
        <v>5</v>
      </c>
      <c r="P67" t="s">
        <v>6</v>
      </c>
      <c r="Q67" t="s">
        <v>8</v>
      </c>
      <c r="R67" t="s">
        <v>5</v>
      </c>
      <c r="S67" t="s">
        <v>6</v>
      </c>
      <c r="T67" t="s">
        <v>7</v>
      </c>
      <c r="U67" t="s">
        <v>0</v>
      </c>
      <c r="V67" t="s">
        <v>3</v>
      </c>
      <c r="W67" t="s">
        <v>4</v>
      </c>
      <c r="X67" t="s">
        <v>5</v>
      </c>
      <c r="Y67" t="s">
        <v>6</v>
      </c>
      <c r="Z67" t="s">
        <v>7</v>
      </c>
      <c r="AA67" t="s">
        <v>5</v>
      </c>
      <c r="AB67" t="s">
        <v>6</v>
      </c>
      <c r="AC67" t="s">
        <v>7</v>
      </c>
      <c r="AD67" t="s">
        <v>5</v>
      </c>
      <c r="AE67" t="s">
        <v>6</v>
      </c>
      <c r="AF67" t="s">
        <v>7</v>
      </c>
      <c r="AG67" t="s">
        <v>0</v>
      </c>
      <c r="AH67" t="s">
        <v>3</v>
      </c>
      <c r="AI67" t="s">
        <v>4</v>
      </c>
      <c r="AJ67" t="s">
        <v>5</v>
      </c>
      <c r="AK67" t="s">
        <v>6</v>
      </c>
      <c r="AL67" t="s">
        <v>7</v>
      </c>
      <c r="AM67" t="s">
        <v>5</v>
      </c>
      <c r="AN67" t="s">
        <v>6</v>
      </c>
      <c r="AO67" t="s">
        <v>7</v>
      </c>
      <c r="AP67" t="s">
        <v>5</v>
      </c>
      <c r="AQ67" t="s">
        <v>6</v>
      </c>
      <c r="AR67" t="s">
        <v>7</v>
      </c>
      <c r="AS67" t="s">
        <v>0</v>
      </c>
      <c r="AT67" t="s">
        <v>3</v>
      </c>
      <c r="AU67" t="s">
        <v>4</v>
      </c>
      <c r="AV67" t="s">
        <v>5</v>
      </c>
      <c r="AW67" t="s">
        <v>6</v>
      </c>
      <c r="AX67" t="s">
        <v>7</v>
      </c>
      <c r="AY67" t="s">
        <v>5</v>
      </c>
      <c r="AZ67" t="s">
        <v>6</v>
      </c>
      <c r="BA67" t="s">
        <v>7</v>
      </c>
      <c r="BB67" t="s">
        <v>5</v>
      </c>
      <c r="BC67" t="s">
        <v>6</v>
      </c>
      <c r="BD67" t="s">
        <v>7</v>
      </c>
    </row>
    <row r="68" spans="1:56" x14ac:dyDescent="0.2">
      <c r="A68">
        <v>1</v>
      </c>
      <c r="B68">
        <v>4</v>
      </c>
      <c r="C68">
        <v>0.70399999999999996</v>
      </c>
      <c r="D68">
        <v>0.28999999999999998</v>
      </c>
      <c r="E68">
        <v>0.84699999999999998</v>
      </c>
      <c r="F68">
        <v>0.28999999999999998</v>
      </c>
      <c r="G68">
        <v>0.13700000000000001</v>
      </c>
      <c r="H68">
        <v>0.11</v>
      </c>
      <c r="J68">
        <v>1</v>
      </c>
      <c r="K68">
        <v>4</v>
      </c>
      <c r="L68">
        <v>0.77600000000000002</v>
      </c>
      <c r="M68">
        <v>0.63</v>
      </c>
      <c r="N68">
        <v>0.76200000000000001</v>
      </c>
      <c r="O68">
        <v>0.91700000000000004</v>
      </c>
      <c r="P68">
        <v>0.6</v>
      </c>
      <c r="Q68">
        <v>0.76200000000000001</v>
      </c>
      <c r="R68">
        <v>0.17</v>
      </c>
      <c r="S68">
        <v>0.17</v>
      </c>
      <c r="T68">
        <v>0</v>
      </c>
      <c r="V68">
        <v>1</v>
      </c>
      <c r="W68">
        <v>4</v>
      </c>
      <c r="X68">
        <v>0.79100000000000004</v>
      </c>
      <c r="Y68">
        <v>0.72</v>
      </c>
      <c r="Z68">
        <v>0.61899999999999999</v>
      </c>
      <c r="AA68">
        <v>0.93400000000000005</v>
      </c>
      <c r="AB68">
        <v>0.72</v>
      </c>
      <c r="AC68">
        <v>0.61899999999999999</v>
      </c>
      <c r="AD68">
        <v>0.73699999999999999</v>
      </c>
      <c r="AE68">
        <v>0.73</v>
      </c>
      <c r="AF68">
        <v>0</v>
      </c>
      <c r="AH68">
        <v>1</v>
      </c>
      <c r="AI68">
        <v>4</v>
      </c>
      <c r="AJ68">
        <v>0.79100000000000004</v>
      </c>
      <c r="AK68">
        <v>0.72</v>
      </c>
      <c r="AL68">
        <v>0.61899999999999999</v>
      </c>
      <c r="AM68">
        <v>0.93400000000000005</v>
      </c>
      <c r="AN68">
        <v>0.72</v>
      </c>
      <c r="AO68">
        <v>0.61899999999999999</v>
      </c>
      <c r="AP68">
        <v>0.73699999999999999</v>
      </c>
      <c r="AQ68">
        <v>0.73</v>
      </c>
      <c r="AR68">
        <v>0</v>
      </c>
    </row>
    <row r="69" spans="1:56" x14ac:dyDescent="0.2">
      <c r="A69">
        <v>2</v>
      </c>
      <c r="B69">
        <v>4</v>
      </c>
      <c r="C69">
        <v>0.629</v>
      </c>
      <c r="D69">
        <v>0.25</v>
      </c>
      <c r="E69">
        <v>0.77100000000000002</v>
      </c>
      <c r="F69">
        <v>0.24</v>
      </c>
      <c r="G69">
        <v>0.36299999999999999</v>
      </c>
      <c r="H69">
        <v>0</v>
      </c>
      <c r="J69">
        <v>2</v>
      </c>
      <c r="K69">
        <v>4</v>
      </c>
      <c r="L69">
        <v>0.76500000000000001</v>
      </c>
      <c r="M69">
        <v>0.34</v>
      </c>
      <c r="N69">
        <v>0.95199999999999996</v>
      </c>
      <c r="O69">
        <v>0.90800000000000003</v>
      </c>
      <c r="P69">
        <v>0.34</v>
      </c>
      <c r="Q69">
        <v>0.95199999999999996</v>
      </c>
      <c r="R69">
        <v>0.56000000000000005</v>
      </c>
      <c r="S69">
        <v>0.54</v>
      </c>
      <c r="T69">
        <v>1</v>
      </c>
      <c r="V69">
        <v>2</v>
      </c>
      <c r="W69">
        <v>4</v>
      </c>
      <c r="X69">
        <v>0.77600000000000002</v>
      </c>
      <c r="Y69">
        <v>0.63</v>
      </c>
      <c r="Z69">
        <v>0.76200000000000001</v>
      </c>
      <c r="AA69">
        <v>0.91700000000000004</v>
      </c>
      <c r="AB69">
        <v>0.6</v>
      </c>
      <c r="AC69">
        <v>0.76200000000000001</v>
      </c>
      <c r="AD69">
        <v>0.38200000000000001</v>
      </c>
      <c r="AE69">
        <v>0.25</v>
      </c>
      <c r="AF69">
        <v>0.42099999999999999</v>
      </c>
    </row>
    <row r="70" spans="1:56" x14ac:dyDescent="0.2">
      <c r="A70">
        <v>3</v>
      </c>
      <c r="B70">
        <v>5</v>
      </c>
      <c r="C70">
        <v>0.75700000000000001</v>
      </c>
      <c r="D70">
        <v>0.17</v>
      </c>
      <c r="E70">
        <v>0.89</v>
      </c>
      <c r="F70">
        <v>0.04</v>
      </c>
      <c r="G70">
        <v>0.56000000000000005</v>
      </c>
      <c r="H70">
        <v>0.54</v>
      </c>
      <c r="J70">
        <v>3</v>
      </c>
      <c r="K70">
        <v>4</v>
      </c>
      <c r="L70">
        <v>0.80600000000000005</v>
      </c>
      <c r="M70">
        <v>0.74</v>
      </c>
      <c r="N70">
        <v>1</v>
      </c>
      <c r="O70">
        <v>0.94899999999999995</v>
      </c>
      <c r="P70">
        <v>0.74</v>
      </c>
      <c r="Q70">
        <v>1</v>
      </c>
      <c r="R70">
        <v>0.34100000000000003</v>
      </c>
      <c r="S70">
        <v>0.32</v>
      </c>
      <c r="T70">
        <v>1</v>
      </c>
      <c r="V70">
        <v>3</v>
      </c>
      <c r="W70">
        <v>4</v>
      </c>
      <c r="X70">
        <v>0.76500000000000001</v>
      </c>
      <c r="Y70">
        <v>0.34</v>
      </c>
      <c r="Z70">
        <v>0.95199999999999996</v>
      </c>
      <c r="AA70">
        <v>0.90800000000000003</v>
      </c>
      <c r="AB70">
        <v>0.34</v>
      </c>
      <c r="AC70">
        <v>0.95199999999999996</v>
      </c>
      <c r="AD70">
        <v>0.56000000000000005</v>
      </c>
      <c r="AE70">
        <v>0.54</v>
      </c>
      <c r="AF70">
        <v>1</v>
      </c>
    </row>
    <row r="71" spans="1:56" x14ac:dyDescent="0.2">
      <c r="A71">
        <v>4</v>
      </c>
      <c r="B71">
        <v>4</v>
      </c>
      <c r="C71">
        <v>0.80600000000000005</v>
      </c>
      <c r="D71">
        <v>0.74</v>
      </c>
      <c r="E71">
        <v>0.94899999999999995</v>
      </c>
      <c r="F71">
        <v>0.74</v>
      </c>
      <c r="G71">
        <v>0.34100000000000003</v>
      </c>
      <c r="H71">
        <v>0.32</v>
      </c>
      <c r="V71">
        <v>4</v>
      </c>
      <c r="W71">
        <v>4</v>
      </c>
      <c r="X71">
        <v>0.80600000000000005</v>
      </c>
      <c r="Y71">
        <v>0.74</v>
      </c>
      <c r="Z71">
        <v>1</v>
      </c>
      <c r="AA71">
        <v>0.94899999999999995</v>
      </c>
      <c r="AB71">
        <v>0.74</v>
      </c>
      <c r="AC71">
        <v>1</v>
      </c>
      <c r="AD71">
        <v>0.34100000000000003</v>
      </c>
      <c r="AE71">
        <v>0.32</v>
      </c>
      <c r="AF71">
        <v>1</v>
      </c>
    </row>
    <row r="72" spans="1:56" x14ac:dyDescent="0.2">
      <c r="V72">
        <v>5</v>
      </c>
      <c r="W72">
        <v>4</v>
      </c>
      <c r="X72">
        <v>0.73299999999999998</v>
      </c>
      <c r="Y72">
        <v>0.48</v>
      </c>
      <c r="Z72">
        <v>0.66700000000000004</v>
      </c>
      <c r="AA72">
        <v>0.874</v>
      </c>
      <c r="AB72">
        <v>0.45</v>
      </c>
      <c r="AC72">
        <v>0.66700000000000004</v>
      </c>
      <c r="AD72">
        <v>0.45200000000000001</v>
      </c>
      <c r="AE72">
        <v>0.44</v>
      </c>
      <c r="AF72">
        <v>0</v>
      </c>
    </row>
    <row r="77" spans="1:56" x14ac:dyDescent="0.2">
      <c r="A77">
        <f>COUNT(A79:A83)</f>
        <v>4</v>
      </c>
      <c r="B77">
        <f>COUNTIF(B79:B83,"&gt;4")</f>
        <v>1</v>
      </c>
      <c r="D77" t="s">
        <v>0</v>
      </c>
      <c r="E77" t="s">
        <v>1</v>
      </c>
      <c r="F77" t="s">
        <v>0</v>
      </c>
      <c r="G77" t="s">
        <v>2</v>
      </c>
      <c r="H77" t="s">
        <v>0</v>
      </c>
      <c r="I77" t="s">
        <v>0</v>
      </c>
      <c r="J77">
        <f>COUNT(J79:J83)</f>
        <v>5</v>
      </c>
      <c r="K77">
        <f>COUNTIF(K79:K83,"&gt;4")</f>
        <v>1</v>
      </c>
      <c r="M77">
        <f>COUNTIF(M79:M83,1)</f>
        <v>1</v>
      </c>
      <c r="N77">
        <f>COUNTIF(N79:N83,1)</f>
        <v>4</v>
      </c>
      <c r="O77">
        <f>COUNTIF(O79:O83,"&gt;0")</f>
        <v>5</v>
      </c>
      <c r="P77">
        <f>COUNTIF(P79:P83,1)</f>
        <v>1</v>
      </c>
      <c r="Q77">
        <f>COUNTIF(Q79:Q83,1)</f>
        <v>4</v>
      </c>
      <c r="S77">
        <f>COUNTIF(S79:S83,1)</f>
        <v>0</v>
      </c>
      <c r="T77">
        <f>COUNTIFS(T79:T83,1,K79:K83,"&gt;4")</f>
        <v>1</v>
      </c>
      <c r="U77" t="s">
        <v>0</v>
      </c>
      <c r="V77">
        <f>COUNT(V79:V83)</f>
        <v>5</v>
      </c>
      <c r="W77">
        <f>COUNTIF(W79:W83,"&gt;4")</f>
        <v>1</v>
      </c>
      <c r="Y77">
        <f>COUNTIF(Y79:Y83,1)</f>
        <v>1</v>
      </c>
      <c r="Z77">
        <f>COUNTIF(Z79:Z83,1)</f>
        <v>4</v>
      </c>
      <c r="AA77">
        <f>COUNTIF(AA79:AA83,"&gt;0")</f>
        <v>5</v>
      </c>
      <c r="AB77">
        <f>COUNTIF(AB79:AB83,1)</f>
        <v>1</v>
      </c>
      <c r="AC77">
        <f>COUNTIF(AC79:AC83,1)</f>
        <v>4</v>
      </c>
      <c r="AE77">
        <f>COUNTIF(AE79:AE83,1)</f>
        <v>0</v>
      </c>
      <c r="AF77">
        <f>COUNTIFS(AF79:AF83,1,W79:W83,"&gt;4")</f>
        <v>1</v>
      </c>
      <c r="AG77" t="s">
        <v>0</v>
      </c>
      <c r="AH77">
        <f>COUNT(AH79:AH83)</f>
        <v>4</v>
      </c>
      <c r="AI77">
        <f>COUNTIF(AI79:AI83,"&gt;4")</f>
        <v>1</v>
      </c>
      <c r="AK77">
        <f>COUNTIF(AK79:AK83,1)</f>
        <v>0</v>
      </c>
      <c r="AL77">
        <f>COUNTIF(AL79:AL83,1)</f>
        <v>3</v>
      </c>
      <c r="AM77">
        <f>COUNTIF(AM79:AM83,"&gt;0")</f>
        <v>4</v>
      </c>
      <c r="AN77">
        <f>COUNTIF(AN79:AN83,1)</f>
        <v>0</v>
      </c>
      <c r="AO77">
        <f>COUNTIF(AO79:AO83,1)</f>
        <v>3</v>
      </c>
      <c r="AQ77">
        <f>COUNTIF(AQ79:AQ83,1)</f>
        <v>0</v>
      </c>
      <c r="AR77">
        <f>COUNTIFS(AR79:AR83,1,AI79:AI83,"&gt;4")</f>
        <v>1</v>
      </c>
      <c r="AS77" t="s">
        <v>0</v>
      </c>
      <c r="AT77">
        <f>COUNT(AT79:AT83)</f>
        <v>2</v>
      </c>
      <c r="AU77">
        <f>COUNTIF(AU79:AU83,"&gt;4")</f>
        <v>1</v>
      </c>
      <c r="AW77">
        <f>COUNTIF(AW79:AW83,1)</f>
        <v>1</v>
      </c>
      <c r="AX77">
        <f>COUNTIF(AX79:AX83,1)</f>
        <v>2</v>
      </c>
      <c r="AY77">
        <f>COUNTIF(AY79:AY83,"&gt;0")</f>
        <v>2</v>
      </c>
      <c r="AZ77">
        <f>COUNTIF(AZ79:AZ83,1)</f>
        <v>1</v>
      </c>
      <c r="BA77">
        <f>COUNTIF(BA79:BA83,1)</f>
        <v>2</v>
      </c>
      <c r="BC77">
        <f>COUNTIF(BC79:BC83,1)</f>
        <v>0</v>
      </c>
      <c r="BD77">
        <f>COUNTIFS(BD79:BD83,1,AU79:AU83,"&gt;4")</f>
        <v>1</v>
      </c>
    </row>
    <row r="78" spans="1:56" x14ac:dyDescent="0.2">
      <c r="A78" t="s">
        <v>3</v>
      </c>
      <c r="B78" t="s">
        <v>4</v>
      </c>
      <c r="C78" t="s">
        <v>5</v>
      </c>
      <c r="D78" t="s">
        <v>6</v>
      </c>
      <c r="E78" t="s">
        <v>5</v>
      </c>
      <c r="F78" t="s">
        <v>6</v>
      </c>
      <c r="G78" t="s">
        <v>5</v>
      </c>
      <c r="H78" t="s">
        <v>6</v>
      </c>
      <c r="I78" t="s">
        <v>0</v>
      </c>
      <c r="J78" t="s">
        <v>3</v>
      </c>
      <c r="K78" t="s">
        <v>4</v>
      </c>
      <c r="L78" t="s">
        <v>5</v>
      </c>
      <c r="M78" t="s">
        <v>6</v>
      </c>
      <c r="N78" t="s">
        <v>7</v>
      </c>
      <c r="O78" t="s">
        <v>5</v>
      </c>
      <c r="P78" t="s">
        <v>6</v>
      </c>
      <c r="Q78" t="s">
        <v>8</v>
      </c>
      <c r="R78" t="s">
        <v>5</v>
      </c>
      <c r="S78" t="s">
        <v>6</v>
      </c>
      <c r="T78" t="s">
        <v>7</v>
      </c>
      <c r="U78" t="s">
        <v>0</v>
      </c>
      <c r="V78" t="s">
        <v>3</v>
      </c>
      <c r="W78" t="s">
        <v>4</v>
      </c>
      <c r="X78" t="s">
        <v>5</v>
      </c>
      <c r="Y78" t="s">
        <v>6</v>
      </c>
      <c r="Z78" t="s">
        <v>7</v>
      </c>
      <c r="AA78" t="s">
        <v>5</v>
      </c>
      <c r="AB78" t="s">
        <v>6</v>
      </c>
      <c r="AC78" t="s">
        <v>7</v>
      </c>
      <c r="AD78" t="s">
        <v>5</v>
      </c>
      <c r="AE78" t="s">
        <v>6</v>
      </c>
      <c r="AF78" t="s">
        <v>7</v>
      </c>
      <c r="AG78" t="s">
        <v>0</v>
      </c>
      <c r="AH78" t="s">
        <v>3</v>
      </c>
      <c r="AI78" t="s">
        <v>4</v>
      </c>
      <c r="AJ78" t="s">
        <v>5</v>
      </c>
      <c r="AK78" t="s">
        <v>6</v>
      </c>
      <c r="AL78" t="s">
        <v>7</v>
      </c>
      <c r="AM78" t="s">
        <v>5</v>
      </c>
      <c r="AN78" t="s">
        <v>6</v>
      </c>
      <c r="AO78" t="s">
        <v>7</v>
      </c>
      <c r="AP78" t="s">
        <v>5</v>
      </c>
      <c r="AQ78" t="s">
        <v>6</v>
      </c>
      <c r="AR78" t="s">
        <v>7</v>
      </c>
      <c r="AS78" t="s">
        <v>0</v>
      </c>
      <c r="AT78" t="s">
        <v>3</v>
      </c>
      <c r="AU78" t="s">
        <v>4</v>
      </c>
      <c r="AV78" t="s">
        <v>5</v>
      </c>
      <c r="AW78" t="s">
        <v>6</v>
      </c>
      <c r="AX78" t="s">
        <v>7</v>
      </c>
      <c r="AY78" t="s">
        <v>5</v>
      </c>
      <c r="AZ78" t="s">
        <v>6</v>
      </c>
      <c r="BA78" t="s">
        <v>7</v>
      </c>
      <c r="BB78" t="s">
        <v>5</v>
      </c>
      <c r="BC78" t="s">
        <v>6</v>
      </c>
      <c r="BD78" t="s">
        <v>7</v>
      </c>
    </row>
    <row r="79" spans="1:56" x14ac:dyDescent="0.2">
      <c r="A79">
        <v>1</v>
      </c>
      <c r="B79">
        <v>5</v>
      </c>
      <c r="C79">
        <v>0.98199999999999998</v>
      </c>
      <c r="D79">
        <v>0.83</v>
      </c>
      <c r="E79">
        <v>0.98199999999999998</v>
      </c>
      <c r="F79">
        <v>0.83</v>
      </c>
      <c r="G79">
        <v>0.85</v>
      </c>
      <c r="H79">
        <v>0.85</v>
      </c>
      <c r="J79">
        <v>1</v>
      </c>
      <c r="K79">
        <v>4</v>
      </c>
      <c r="L79">
        <v>0.86899999999999999</v>
      </c>
      <c r="M79">
        <v>0.64</v>
      </c>
      <c r="N79">
        <v>0.52400000000000002</v>
      </c>
      <c r="O79">
        <v>0.86899999999999999</v>
      </c>
      <c r="P79">
        <v>0.64</v>
      </c>
      <c r="Q79">
        <v>0.52400000000000002</v>
      </c>
      <c r="R79">
        <v>0.73</v>
      </c>
      <c r="S79">
        <v>0.73</v>
      </c>
      <c r="T79">
        <v>0</v>
      </c>
      <c r="V79">
        <v>1</v>
      </c>
      <c r="W79">
        <v>4</v>
      </c>
      <c r="X79">
        <v>0.86899999999999999</v>
      </c>
      <c r="Y79">
        <v>0.64</v>
      </c>
      <c r="Z79">
        <v>0.52400000000000002</v>
      </c>
      <c r="AA79">
        <v>0.86899999999999999</v>
      </c>
      <c r="AB79">
        <v>0.64</v>
      </c>
      <c r="AC79">
        <v>0.52400000000000002</v>
      </c>
      <c r="AD79">
        <v>0.73</v>
      </c>
      <c r="AE79">
        <v>0.73</v>
      </c>
      <c r="AF79">
        <v>0</v>
      </c>
      <c r="AH79">
        <v>1</v>
      </c>
      <c r="AI79">
        <v>4</v>
      </c>
      <c r="AJ79">
        <v>0.86899999999999999</v>
      </c>
      <c r="AK79">
        <v>0.64</v>
      </c>
      <c r="AL79">
        <v>0.52400000000000002</v>
      </c>
      <c r="AM79">
        <v>0.86899999999999999</v>
      </c>
      <c r="AN79">
        <v>0.64</v>
      </c>
      <c r="AO79">
        <v>0.52400000000000002</v>
      </c>
      <c r="AP79">
        <v>0.73</v>
      </c>
      <c r="AQ79">
        <v>0.73</v>
      </c>
      <c r="AR79">
        <v>0</v>
      </c>
      <c r="AT79">
        <v>1</v>
      </c>
      <c r="AU79">
        <v>5</v>
      </c>
      <c r="AV79">
        <v>0.98199999999999998</v>
      </c>
      <c r="AW79">
        <v>0.83</v>
      </c>
      <c r="AX79">
        <v>1</v>
      </c>
      <c r="AY79">
        <v>0.98199999999999998</v>
      </c>
      <c r="AZ79">
        <v>0.83</v>
      </c>
      <c r="BA79">
        <v>1</v>
      </c>
      <c r="BB79">
        <v>0.85</v>
      </c>
      <c r="BC79">
        <v>0.85</v>
      </c>
      <c r="BD79">
        <v>1</v>
      </c>
    </row>
    <row r="80" spans="1:56" x14ac:dyDescent="0.2">
      <c r="A80">
        <v>2</v>
      </c>
      <c r="B80">
        <v>4</v>
      </c>
      <c r="C80">
        <v>0.90300000000000002</v>
      </c>
      <c r="D80">
        <v>0.78</v>
      </c>
      <c r="E80">
        <v>0.90300000000000002</v>
      </c>
      <c r="F80">
        <v>0.78</v>
      </c>
      <c r="G80">
        <v>0</v>
      </c>
      <c r="H80">
        <v>0</v>
      </c>
      <c r="J80">
        <v>2</v>
      </c>
      <c r="K80">
        <v>5</v>
      </c>
      <c r="L80">
        <v>0.98199999999999998</v>
      </c>
      <c r="M80">
        <v>0.83</v>
      </c>
      <c r="N80">
        <v>1</v>
      </c>
      <c r="O80">
        <v>0.98199999999999998</v>
      </c>
      <c r="P80">
        <v>0.83</v>
      </c>
      <c r="Q80">
        <v>1</v>
      </c>
      <c r="R80">
        <v>0.85</v>
      </c>
      <c r="S80">
        <v>0.85</v>
      </c>
      <c r="T80">
        <v>1</v>
      </c>
      <c r="V80">
        <v>2</v>
      </c>
      <c r="W80">
        <v>5</v>
      </c>
      <c r="X80">
        <v>0.98199999999999998</v>
      </c>
      <c r="Y80">
        <v>0.83</v>
      </c>
      <c r="Z80">
        <v>1</v>
      </c>
      <c r="AA80">
        <v>0.98199999999999998</v>
      </c>
      <c r="AB80">
        <v>0.83</v>
      </c>
      <c r="AC80">
        <v>1</v>
      </c>
      <c r="AD80">
        <v>0.85</v>
      </c>
      <c r="AE80">
        <v>0.85</v>
      </c>
      <c r="AF80">
        <v>1</v>
      </c>
      <c r="AH80">
        <v>2</v>
      </c>
      <c r="AI80">
        <v>5</v>
      </c>
      <c r="AJ80">
        <v>0.98199999999999998</v>
      </c>
      <c r="AK80">
        <v>0.83</v>
      </c>
      <c r="AL80">
        <v>1</v>
      </c>
      <c r="AM80">
        <v>0.98199999999999998</v>
      </c>
      <c r="AN80">
        <v>0.83</v>
      </c>
      <c r="AO80">
        <v>1</v>
      </c>
      <c r="AP80">
        <v>0.85</v>
      </c>
      <c r="AQ80">
        <v>0.85</v>
      </c>
      <c r="AR80">
        <v>1</v>
      </c>
      <c r="AT80">
        <v>2</v>
      </c>
      <c r="AU80">
        <v>4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0.41</v>
      </c>
      <c r="BC80">
        <v>0.41</v>
      </c>
      <c r="BD80">
        <v>0</v>
      </c>
    </row>
    <row r="81" spans="1:56" x14ac:dyDescent="0.2">
      <c r="A81">
        <v>3</v>
      </c>
      <c r="B81">
        <v>4</v>
      </c>
      <c r="C81">
        <v>0.98299999999999998</v>
      </c>
      <c r="D81">
        <v>0.73</v>
      </c>
      <c r="E81">
        <v>0.98299999999999998</v>
      </c>
      <c r="F81">
        <v>0.73</v>
      </c>
      <c r="G81">
        <v>0.05</v>
      </c>
      <c r="H81">
        <v>0.01</v>
      </c>
      <c r="J81">
        <v>3</v>
      </c>
      <c r="K81">
        <v>4</v>
      </c>
      <c r="L81">
        <v>0.90300000000000002</v>
      </c>
      <c r="M81">
        <v>0.78</v>
      </c>
      <c r="N81">
        <v>1</v>
      </c>
      <c r="O81">
        <v>0.90300000000000002</v>
      </c>
      <c r="P81">
        <v>0.78</v>
      </c>
      <c r="Q81">
        <v>1</v>
      </c>
      <c r="R81">
        <v>0.77</v>
      </c>
      <c r="S81">
        <v>0.77</v>
      </c>
      <c r="T81">
        <v>0</v>
      </c>
      <c r="V81">
        <v>3</v>
      </c>
      <c r="W81">
        <v>4</v>
      </c>
      <c r="X81">
        <v>0.90300000000000002</v>
      </c>
      <c r="Y81">
        <v>0.78</v>
      </c>
      <c r="Z81">
        <v>1</v>
      </c>
      <c r="AA81">
        <v>0.90300000000000002</v>
      </c>
      <c r="AB81">
        <v>0.78</v>
      </c>
      <c r="AC81">
        <v>1</v>
      </c>
      <c r="AD81">
        <v>0.77</v>
      </c>
      <c r="AE81">
        <v>0.77</v>
      </c>
      <c r="AF81">
        <v>0</v>
      </c>
      <c r="AH81">
        <v>3</v>
      </c>
      <c r="AI81">
        <v>4</v>
      </c>
      <c r="AJ81">
        <v>0.90300000000000002</v>
      </c>
      <c r="AK81">
        <v>0.78</v>
      </c>
      <c r="AL81">
        <v>1</v>
      </c>
      <c r="AM81">
        <v>0.90300000000000002</v>
      </c>
      <c r="AN81">
        <v>0.78</v>
      </c>
      <c r="AO81">
        <v>1</v>
      </c>
      <c r="AP81">
        <v>0.77</v>
      </c>
      <c r="AQ81">
        <v>0.77</v>
      </c>
      <c r="AR81">
        <v>0</v>
      </c>
    </row>
    <row r="82" spans="1:56" x14ac:dyDescent="0.2">
      <c r="A82">
        <v>4</v>
      </c>
      <c r="B82">
        <v>4</v>
      </c>
      <c r="C82">
        <v>1</v>
      </c>
      <c r="D82">
        <v>1</v>
      </c>
      <c r="E82">
        <v>1</v>
      </c>
      <c r="F82">
        <v>1</v>
      </c>
      <c r="G82">
        <v>0.49</v>
      </c>
      <c r="H82">
        <v>0.49</v>
      </c>
      <c r="J82">
        <v>4</v>
      </c>
      <c r="K82">
        <v>4</v>
      </c>
      <c r="L82">
        <v>0.98299999999999998</v>
      </c>
      <c r="M82">
        <v>0.73</v>
      </c>
      <c r="N82">
        <v>1</v>
      </c>
      <c r="O82">
        <v>0.98299999999999998</v>
      </c>
      <c r="P82">
        <v>0.73</v>
      </c>
      <c r="Q82">
        <v>1</v>
      </c>
      <c r="R82">
        <v>0.90400000000000003</v>
      </c>
      <c r="S82">
        <v>0.9</v>
      </c>
      <c r="T82">
        <v>0</v>
      </c>
      <c r="V82">
        <v>4</v>
      </c>
      <c r="W82">
        <v>4</v>
      </c>
      <c r="X82">
        <v>0.98299999999999998</v>
      </c>
      <c r="Y82">
        <v>0.73</v>
      </c>
      <c r="Z82">
        <v>1</v>
      </c>
      <c r="AA82">
        <v>0.98299999999999998</v>
      </c>
      <c r="AB82">
        <v>0.73</v>
      </c>
      <c r="AC82">
        <v>1</v>
      </c>
      <c r="AD82">
        <v>0.90400000000000003</v>
      </c>
      <c r="AE82">
        <v>0.9</v>
      </c>
      <c r="AF82">
        <v>0</v>
      </c>
      <c r="AH82">
        <v>4</v>
      </c>
      <c r="AI82">
        <v>4</v>
      </c>
      <c r="AJ82">
        <v>0.98299999999999998</v>
      </c>
      <c r="AK82">
        <v>0.73</v>
      </c>
      <c r="AL82">
        <v>1</v>
      </c>
      <c r="AM82">
        <v>0.98299999999999998</v>
      </c>
      <c r="AN82">
        <v>0.73</v>
      </c>
      <c r="AO82">
        <v>1</v>
      </c>
      <c r="AP82">
        <v>0.90400000000000003</v>
      </c>
      <c r="AQ82">
        <v>0.9</v>
      </c>
      <c r="AR82">
        <v>0</v>
      </c>
    </row>
    <row r="83" spans="1:56" x14ac:dyDescent="0.2">
      <c r="J83">
        <v>5</v>
      </c>
      <c r="K83">
        <v>4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0.49</v>
      </c>
      <c r="S83">
        <v>0.49</v>
      </c>
      <c r="T83">
        <v>1</v>
      </c>
      <c r="V83">
        <v>5</v>
      </c>
      <c r="W83">
        <v>4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0.49</v>
      </c>
      <c r="AE83">
        <v>0.49</v>
      </c>
      <c r="AF83">
        <v>1</v>
      </c>
    </row>
    <row r="88" spans="1:56" x14ac:dyDescent="0.2">
      <c r="A88">
        <f>COUNT(A90:A94)</f>
        <v>2</v>
      </c>
      <c r="B88">
        <f>COUNTIF(B90:B94,"&gt;4")</f>
        <v>2</v>
      </c>
      <c r="D88" t="s">
        <v>0</v>
      </c>
      <c r="E88" t="s">
        <v>1</v>
      </c>
      <c r="F88" t="s">
        <v>0</v>
      </c>
      <c r="G88" t="s">
        <v>2</v>
      </c>
      <c r="H88" t="s">
        <v>0</v>
      </c>
      <c r="I88" t="s">
        <v>0</v>
      </c>
      <c r="J88">
        <f>COUNT(J90:J94)</f>
        <v>2</v>
      </c>
      <c r="K88">
        <f>COUNTIF(K90:K94,"&gt;4")</f>
        <v>2</v>
      </c>
      <c r="M88">
        <f>COUNTIF(M90:M94,1)</f>
        <v>0</v>
      </c>
      <c r="N88">
        <f>COUNTIF(N90:N94,1)</f>
        <v>2</v>
      </c>
      <c r="O88">
        <f>COUNTIF(O90:O94,"&gt;0")</f>
        <v>2</v>
      </c>
      <c r="P88">
        <f>COUNTIF(P90:P94,1)</f>
        <v>0</v>
      </c>
      <c r="Q88">
        <f>COUNTIF(Q90:Q94,1)</f>
        <v>2</v>
      </c>
      <c r="S88">
        <f>COUNTIF(S90:S94,1)</f>
        <v>1</v>
      </c>
      <c r="T88">
        <f>COUNTIFS(T90:T94,1,K90:K94,"&gt;4")</f>
        <v>2</v>
      </c>
      <c r="U88" t="s">
        <v>0</v>
      </c>
      <c r="V88">
        <f>COUNT(V90:V94)</f>
        <v>3</v>
      </c>
      <c r="W88">
        <f>COUNTIF(W90:W94,"&gt;4")</f>
        <v>2</v>
      </c>
      <c r="Y88">
        <f>COUNTIF(Y90:Y94,1)</f>
        <v>0</v>
      </c>
      <c r="Z88">
        <f>COUNTIF(Z90:Z94,1)</f>
        <v>2</v>
      </c>
      <c r="AA88">
        <f>COUNTIF(AA90:AA94,"&gt;0")</f>
        <v>3</v>
      </c>
      <c r="AB88">
        <f>COUNTIF(AB90:AB94,1)</f>
        <v>0</v>
      </c>
      <c r="AC88">
        <f>COUNTIF(AC90:AC94,1)</f>
        <v>2</v>
      </c>
      <c r="AE88">
        <f>COUNTIF(AE90:AE94,1)</f>
        <v>1</v>
      </c>
      <c r="AF88">
        <f>COUNTIFS(AF90:AF94,1,W90:W94,"&gt;4")</f>
        <v>2</v>
      </c>
      <c r="AG88" t="s">
        <v>0</v>
      </c>
      <c r="AH88">
        <f>COUNT(AH90:AH94)</f>
        <v>2</v>
      </c>
      <c r="AI88">
        <f>COUNTIF(AI90:AI94,"&gt;4")</f>
        <v>2</v>
      </c>
      <c r="AK88">
        <f>COUNTIF(AK90:AK94,1)</f>
        <v>0</v>
      </c>
      <c r="AL88">
        <f>COUNTIF(AL90:AL94,1)</f>
        <v>2</v>
      </c>
      <c r="AM88">
        <f>COUNTIF(AM90:AM94,"&gt;0")</f>
        <v>2</v>
      </c>
      <c r="AN88">
        <f>COUNTIF(AN90:AN94,1)</f>
        <v>0</v>
      </c>
      <c r="AO88">
        <f>COUNTIF(AO90:AO94,1)</f>
        <v>2</v>
      </c>
      <c r="AQ88">
        <f>COUNTIF(AQ90:AQ94,1)</f>
        <v>1</v>
      </c>
      <c r="AR88">
        <f>COUNTIFS(AR90:AR94,1,AI90:AI94,"&gt;4")</f>
        <v>2</v>
      </c>
      <c r="AS88" t="s">
        <v>0</v>
      </c>
      <c r="AT88">
        <f>COUNT(AT90:AT94)</f>
        <v>2</v>
      </c>
      <c r="AU88">
        <f>COUNTIF(AU90:AU94,"&gt;4")</f>
        <v>2</v>
      </c>
      <c r="AW88">
        <f>COUNTIF(AW90:AW94,1)</f>
        <v>0</v>
      </c>
      <c r="AX88">
        <f>COUNTIF(AX90:AX94,1)</f>
        <v>2</v>
      </c>
      <c r="AY88">
        <f>COUNTIF(AY90:AY94,"&gt;0")</f>
        <v>2</v>
      </c>
      <c r="AZ88">
        <f>COUNTIF(AZ90:AZ94,1)</f>
        <v>0</v>
      </c>
      <c r="BA88">
        <f>COUNTIF(BA90:BA94,1)</f>
        <v>2</v>
      </c>
      <c r="BC88">
        <f>COUNTIF(BC90:BC94,1)</f>
        <v>1</v>
      </c>
      <c r="BD88">
        <f>COUNTIFS(BD90:BD94,1,AU90:AU94,"&gt;4")</f>
        <v>2</v>
      </c>
    </row>
    <row r="89" spans="1:56" x14ac:dyDescent="0.2">
      <c r="A89" t="s">
        <v>3</v>
      </c>
      <c r="B89" t="s">
        <v>4</v>
      </c>
      <c r="C89" t="s">
        <v>5</v>
      </c>
      <c r="D89" t="s">
        <v>6</v>
      </c>
      <c r="E89" t="s">
        <v>5</v>
      </c>
      <c r="F89" t="s">
        <v>6</v>
      </c>
      <c r="G89" t="s">
        <v>5</v>
      </c>
      <c r="H89" t="s">
        <v>6</v>
      </c>
      <c r="I89" t="s">
        <v>0</v>
      </c>
      <c r="J89" t="s">
        <v>3</v>
      </c>
      <c r="K89" t="s">
        <v>4</v>
      </c>
      <c r="L89" t="s">
        <v>5</v>
      </c>
      <c r="M89" t="s">
        <v>6</v>
      </c>
      <c r="N89" t="s">
        <v>7</v>
      </c>
      <c r="O89" t="s">
        <v>5</v>
      </c>
      <c r="P89" t="s">
        <v>6</v>
      </c>
      <c r="Q89" t="s">
        <v>8</v>
      </c>
      <c r="R89" t="s">
        <v>5</v>
      </c>
      <c r="S89" t="s">
        <v>6</v>
      </c>
      <c r="T89" t="s">
        <v>7</v>
      </c>
      <c r="U89" t="s">
        <v>0</v>
      </c>
      <c r="V89" t="s">
        <v>3</v>
      </c>
      <c r="W89" t="s">
        <v>4</v>
      </c>
      <c r="X89" t="s">
        <v>5</v>
      </c>
      <c r="Y89" t="s">
        <v>6</v>
      </c>
      <c r="Z89" t="s">
        <v>7</v>
      </c>
      <c r="AA89" t="s">
        <v>5</v>
      </c>
      <c r="AB89" t="s">
        <v>6</v>
      </c>
      <c r="AC89" t="s">
        <v>7</v>
      </c>
      <c r="AD89" t="s">
        <v>5</v>
      </c>
      <c r="AE89" t="s">
        <v>6</v>
      </c>
      <c r="AF89" t="s">
        <v>7</v>
      </c>
      <c r="AG89" t="s">
        <v>0</v>
      </c>
      <c r="AH89" t="s">
        <v>3</v>
      </c>
      <c r="AI89" t="s">
        <v>4</v>
      </c>
      <c r="AJ89" t="s">
        <v>5</v>
      </c>
      <c r="AK89" t="s">
        <v>6</v>
      </c>
      <c r="AL89" t="s">
        <v>7</v>
      </c>
      <c r="AM89" t="s">
        <v>5</v>
      </c>
      <c r="AN89" t="s">
        <v>6</v>
      </c>
      <c r="AO89" t="s">
        <v>7</v>
      </c>
      <c r="AP89" t="s">
        <v>5</v>
      </c>
      <c r="AQ89" t="s">
        <v>6</v>
      </c>
      <c r="AR89" t="s">
        <v>7</v>
      </c>
      <c r="AS89" t="s">
        <v>0</v>
      </c>
      <c r="AT89" t="s">
        <v>3</v>
      </c>
      <c r="AU89" t="s">
        <v>4</v>
      </c>
      <c r="AV89" t="s">
        <v>5</v>
      </c>
      <c r="AW89" t="s">
        <v>6</v>
      </c>
      <c r="AX89" t="s">
        <v>7</v>
      </c>
      <c r="AY89" t="s">
        <v>5</v>
      </c>
      <c r="AZ89" t="s">
        <v>6</v>
      </c>
      <c r="BA89" t="s">
        <v>7</v>
      </c>
      <c r="BB89" t="s">
        <v>5</v>
      </c>
      <c r="BC89" t="s">
        <v>6</v>
      </c>
      <c r="BD89" t="s">
        <v>7</v>
      </c>
    </row>
    <row r="90" spans="1:56" x14ac:dyDescent="0.2">
      <c r="A90">
        <v>1</v>
      </c>
      <c r="B90">
        <v>7</v>
      </c>
      <c r="C90">
        <v>0.998</v>
      </c>
      <c r="D90">
        <v>0.96</v>
      </c>
      <c r="E90">
        <v>0.998</v>
      </c>
      <c r="F90">
        <v>0.96</v>
      </c>
      <c r="G90">
        <v>1</v>
      </c>
      <c r="H90">
        <v>1</v>
      </c>
      <c r="J90">
        <v>1</v>
      </c>
      <c r="K90">
        <v>7</v>
      </c>
      <c r="L90">
        <v>0.998</v>
      </c>
      <c r="M90">
        <v>0.96</v>
      </c>
      <c r="N90">
        <v>1</v>
      </c>
      <c r="O90">
        <v>0.998</v>
      </c>
      <c r="P90">
        <v>0.96</v>
      </c>
      <c r="Q90">
        <v>1</v>
      </c>
      <c r="R90">
        <v>1</v>
      </c>
      <c r="S90">
        <v>1</v>
      </c>
      <c r="T90">
        <v>1</v>
      </c>
      <c r="V90">
        <v>1</v>
      </c>
      <c r="W90">
        <v>4</v>
      </c>
      <c r="X90">
        <v>0.74299999999999999</v>
      </c>
      <c r="Y90">
        <v>0.38</v>
      </c>
      <c r="Z90">
        <v>0.57099999999999995</v>
      </c>
      <c r="AA90">
        <v>0.74299999999999999</v>
      </c>
      <c r="AB90">
        <v>0.38</v>
      </c>
      <c r="AC90">
        <v>0.57099999999999995</v>
      </c>
      <c r="AD90">
        <v>0.34</v>
      </c>
      <c r="AE90">
        <v>0.34</v>
      </c>
      <c r="AF90">
        <v>0</v>
      </c>
      <c r="AH90">
        <v>1</v>
      </c>
      <c r="AI90">
        <v>7</v>
      </c>
      <c r="AJ90">
        <v>0.998</v>
      </c>
      <c r="AK90">
        <v>0.96</v>
      </c>
      <c r="AL90">
        <v>1</v>
      </c>
      <c r="AM90">
        <v>0.998</v>
      </c>
      <c r="AN90">
        <v>0.96</v>
      </c>
      <c r="AO90">
        <v>1</v>
      </c>
      <c r="AP90">
        <v>1</v>
      </c>
      <c r="AQ90">
        <v>1</v>
      </c>
      <c r="AR90">
        <v>1</v>
      </c>
      <c r="AT90">
        <v>1</v>
      </c>
      <c r="AU90">
        <v>7</v>
      </c>
      <c r="AV90">
        <v>0.998</v>
      </c>
      <c r="AW90">
        <v>0.96</v>
      </c>
      <c r="AX90">
        <v>1</v>
      </c>
      <c r="AY90">
        <v>0.998</v>
      </c>
      <c r="AZ90">
        <v>0.96</v>
      </c>
      <c r="BA90">
        <v>1</v>
      </c>
      <c r="BB90">
        <v>1</v>
      </c>
      <c r="BC90">
        <v>1</v>
      </c>
      <c r="BD90">
        <v>1</v>
      </c>
    </row>
    <row r="91" spans="1:56" x14ac:dyDescent="0.2">
      <c r="A91">
        <v>2</v>
      </c>
      <c r="B91">
        <v>6</v>
      </c>
      <c r="C91">
        <v>0.998</v>
      </c>
      <c r="D91">
        <v>0.97</v>
      </c>
      <c r="E91">
        <v>0.998</v>
      </c>
      <c r="F91">
        <v>0.97</v>
      </c>
      <c r="G91">
        <v>0.99</v>
      </c>
      <c r="H91">
        <v>0.99</v>
      </c>
      <c r="J91">
        <v>2</v>
      </c>
      <c r="K91">
        <v>6</v>
      </c>
      <c r="L91">
        <v>0.998</v>
      </c>
      <c r="M91">
        <v>0.97</v>
      </c>
      <c r="N91">
        <v>1</v>
      </c>
      <c r="O91">
        <v>0.998</v>
      </c>
      <c r="P91">
        <v>0.97</v>
      </c>
      <c r="Q91">
        <v>1</v>
      </c>
      <c r="R91">
        <v>0.99</v>
      </c>
      <c r="S91">
        <v>0.99</v>
      </c>
      <c r="T91">
        <v>1</v>
      </c>
      <c r="V91">
        <v>2</v>
      </c>
      <c r="W91">
        <v>7</v>
      </c>
      <c r="X91">
        <v>0.998</v>
      </c>
      <c r="Y91">
        <v>0.96</v>
      </c>
      <c r="Z91">
        <v>1</v>
      </c>
      <c r="AA91">
        <v>0.998</v>
      </c>
      <c r="AB91">
        <v>0.96</v>
      </c>
      <c r="AC91">
        <v>1</v>
      </c>
      <c r="AD91">
        <v>1</v>
      </c>
      <c r="AE91">
        <v>1</v>
      </c>
      <c r="AF91">
        <v>1</v>
      </c>
      <c r="AH91">
        <v>2</v>
      </c>
      <c r="AI91">
        <v>6</v>
      </c>
      <c r="AJ91">
        <v>0.998</v>
      </c>
      <c r="AK91">
        <v>0.97</v>
      </c>
      <c r="AL91">
        <v>1</v>
      </c>
      <c r="AM91">
        <v>0.998</v>
      </c>
      <c r="AN91">
        <v>0.97</v>
      </c>
      <c r="AO91">
        <v>1</v>
      </c>
      <c r="AP91">
        <v>0.99</v>
      </c>
      <c r="AQ91">
        <v>0.99</v>
      </c>
      <c r="AR91">
        <v>1</v>
      </c>
      <c r="AT91">
        <v>2</v>
      </c>
      <c r="AU91">
        <v>6</v>
      </c>
      <c r="AV91">
        <v>0.998</v>
      </c>
      <c r="AW91">
        <v>0.97</v>
      </c>
      <c r="AX91">
        <v>1</v>
      </c>
      <c r="AY91">
        <v>0.998</v>
      </c>
      <c r="AZ91">
        <v>0.97</v>
      </c>
      <c r="BA91">
        <v>1</v>
      </c>
      <c r="BB91">
        <v>0.99</v>
      </c>
      <c r="BC91">
        <v>0.99</v>
      </c>
      <c r="BD91">
        <v>1</v>
      </c>
    </row>
    <row r="92" spans="1:56" x14ac:dyDescent="0.2">
      <c r="V92">
        <v>3</v>
      </c>
      <c r="W92">
        <v>6</v>
      </c>
      <c r="X92">
        <v>0.998</v>
      </c>
      <c r="Y92">
        <v>0.97</v>
      </c>
      <c r="Z92">
        <v>1</v>
      </c>
      <c r="AA92">
        <v>0.998</v>
      </c>
      <c r="AB92">
        <v>0.97</v>
      </c>
      <c r="AC92">
        <v>1</v>
      </c>
      <c r="AD92">
        <v>0.99</v>
      </c>
      <c r="AE92">
        <v>0.99</v>
      </c>
      <c r="AF92">
        <v>1</v>
      </c>
    </row>
    <row r="97" spans="1:56" x14ac:dyDescent="0.2">
      <c r="A97">
        <f>COUNT(A99:A103)</f>
        <v>4</v>
      </c>
      <c r="B97">
        <f>COUNTIF(B99:B103,"&gt;4")</f>
        <v>2</v>
      </c>
      <c r="D97" t="s">
        <v>0</v>
      </c>
      <c r="E97" t="s">
        <v>1</v>
      </c>
      <c r="F97" t="s">
        <v>0</v>
      </c>
      <c r="G97" t="s">
        <v>2</v>
      </c>
      <c r="H97" t="s">
        <v>0</v>
      </c>
      <c r="I97" t="s">
        <v>0</v>
      </c>
      <c r="J97">
        <f>COUNT(J99:J103)</f>
        <v>3</v>
      </c>
      <c r="K97">
        <f>COUNTIF(K99:K103,"&gt;4")</f>
        <v>0</v>
      </c>
      <c r="M97">
        <f>COUNTIF(M99:M103,1)</f>
        <v>0</v>
      </c>
      <c r="N97">
        <f>COUNTIF(N99:N103,1)</f>
        <v>2</v>
      </c>
      <c r="O97">
        <f>COUNTIF(O99:O103,"&gt;0")</f>
        <v>3</v>
      </c>
      <c r="P97">
        <f>COUNTIF(P99:P103,1)</f>
        <v>0</v>
      </c>
      <c r="Q97">
        <f>COUNTIF(Q99:Q103,1)</f>
        <v>2</v>
      </c>
      <c r="S97">
        <f>COUNTIF(S99:S103,1)</f>
        <v>0</v>
      </c>
      <c r="T97">
        <f>COUNTIFS(T99:T103,1,K99:K103,"&gt;4")</f>
        <v>0</v>
      </c>
      <c r="U97" t="s">
        <v>0</v>
      </c>
      <c r="V97">
        <f>COUNT(V99:V103)</f>
        <v>3</v>
      </c>
      <c r="W97">
        <f>COUNTIF(W99:W103,"&gt;4")</f>
        <v>0</v>
      </c>
      <c r="Y97">
        <f>COUNTIF(Y99:Y103,1)</f>
        <v>0</v>
      </c>
      <c r="Z97">
        <f>COUNTIF(Z99:Z103,1)</f>
        <v>2</v>
      </c>
      <c r="AA97">
        <f>COUNTIF(AA99:AA103,"&gt;0")</f>
        <v>3</v>
      </c>
      <c r="AB97">
        <f>COUNTIF(AB99:AB103,1)</f>
        <v>0</v>
      </c>
      <c r="AC97">
        <f>COUNTIF(AC99:AC103,1)</f>
        <v>2</v>
      </c>
      <c r="AE97">
        <f>COUNTIF(AE99:AE103,1)</f>
        <v>0</v>
      </c>
      <c r="AF97">
        <f>COUNTIFS(AF99:AF103,1,W99:W103,"&gt;4")</f>
        <v>0</v>
      </c>
      <c r="AG97" t="s">
        <v>0</v>
      </c>
      <c r="AH97">
        <f>COUNT(AH99:AH103)</f>
        <v>1</v>
      </c>
      <c r="AI97">
        <f>COUNTIF(AI99:AI103,"&gt;4")</f>
        <v>0</v>
      </c>
      <c r="AK97">
        <f>COUNTIF(AK99:AK103,1)</f>
        <v>0</v>
      </c>
      <c r="AL97">
        <f>COUNTIF(AL99:AL103,1)</f>
        <v>1</v>
      </c>
      <c r="AM97">
        <f>COUNTIF(AM99:AM103,"&gt;0")</f>
        <v>1</v>
      </c>
      <c r="AN97">
        <f>COUNTIF(AN99:AN103,1)</f>
        <v>0</v>
      </c>
      <c r="AO97">
        <f>COUNTIF(AO99:AO103,1)</f>
        <v>1</v>
      </c>
      <c r="AQ97">
        <f>COUNTIF(AQ99:AQ103,1)</f>
        <v>0</v>
      </c>
      <c r="AR97">
        <f>COUNTIFS(AR99:AR103,1,AI99:AI103,"&gt;4")</f>
        <v>0</v>
      </c>
      <c r="AS97" t="s">
        <v>0</v>
      </c>
      <c r="AT97">
        <f>COUNT(AT99:AT103)</f>
        <v>3</v>
      </c>
      <c r="AU97">
        <f>COUNTIF(AU99:AU103,"&gt;4")</f>
        <v>0</v>
      </c>
      <c r="AW97">
        <f>COUNTIF(AW99:AW103,1)</f>
        <v>0</v>
      </c>
      <c r="AX97">
        <f>COUNTIF(AX99:AX103,1)</f>
        <v>2</v>
      </c>
      <c r="AY97">
        <f>COUNTIF(AY99:AY103,"&gt;0")</f>
        <v>3</v>
      </c>
      <c r="AZ97">
        <f>COUNTIF(AZ99:AZ103,1)</f>
        <v>0</v>
      </c>
      <c r="BA97">
        <f>COUNTIF(BA99:BA103,1)</f>
        <v>2</v>
      </c>
      <c r="BC97">
        <f>COUNTIF(BC99:BC103,1)</f>
        <v>0</v>
      </c>
      <c r="BD97">
        <f>COUNTIFS(BD99:BD103,1,AU99:AU103,"&gt;4")</f>
        <v>0</v>
      </c>
    </row>
    <row r="98" spans="1:56" x14ac:dyDescent="0.2">
      <c r="A98" t="s">
        <v>3</v>
      </c>
      <c r="B98" t="s">
        <v>4</v>
      </c>
      <c r="C98" t="s">
        <v>5</v>
      </c>
      <c r="D98" t="s">
        <v>6</v>
      </c>
      <c r="E98" t="s">
        <v>5</v>
      </c>
      <c r="F98" t="s">
        <v>6</v>
      </c>
      <c r="G98" t="s">
        <v>5</v>
      </c>
      <c r="H98" t="s">
        <v>6</v>
      </c>
      <c r="I98" t="s">
        <v>0</v>
      </c>
      <c r="J98" t="s">
        <v>3</v>
      </c>
      <c r="K98" t="s">
        <v>4</v>
      </c>
      <c r="L98" t="s">
        <v>5</v>
      </c>
      <c r="M98" t="s">
        <v>6</v>
      </c>
      <c r="N98" t="s">
        <v>7</v>
      </c>
      <c r="O98" t="s">
        <v>5</v>
      </c>
      <c r="P98" t="s">
        <v>6</v>
      </c>
      <c r="Q98" t="s">
        <v>8</v>
      </c>
      <c r="R98" t="s">
        <v>5</v>
      </c>
      <c r="S98" t="s">
        <v>6</v>
      </c>
      <c r="T98" t="s">
        <v>7</v>
      </c>
      <c r="U98" t="s">
        <v>0</v>
      </c>
      <c r="V98" t="s">
        <v>3</v>
      </c>
      <c r="W98" t="s">
        <v>4</v>
      </c>
      <c r="X98" t="s">
        <v>5</v>
      </c>
      <c r="Y98" t="s">
        <v>6</v>
      </c>
      <c r="Z98" t="s">
        <v>7</v>
      </c>
      <c r="AA98" t="s">
        <v>5</v>
      </c>
      <c r="AB98" t="s">
        <v>6</v>
      </c>
      <c r="AC98" t="s">
        <v>7</v>
      </c>
      <c r="AD98" t="s">
        <v>5</v>
      </c>
      <c r="AE98" t="s">
        <v>6</v>
      </c>
      <c r="AF98" t="s">
        <v>7</v>
      </c>
      <c r="AG98" t="s">
        <v>0</v>
      </c>
      <c r="AH98" t="s">
        <v>3</v>
      </c>
      <c r="AI98" t="s">
        <v>4</v>
      </c>
      <c r="AJ98" t="s">
        <v>5</v>
      </c>
      <c r="AK98" t="s">
        <v>6</v>
      </c>
      <c r="AL98" t="s">
        <v>7</v>
      </c>
      <c r="AM98" t="s">
        <v>5</v>
      </c>
      <c r="AN98" t="s">
        <v>6</v>
      </c>
      <c r="AO98" t="s">
        <v>7</v>
      </c>
      <c r="AP98" t="s">
        <v>5</v>
      </c>
      <c r="AQ98" t="s">
        <v>6</v>
      </c>
      <c r="AR98" t="s">
        <v>7</v>
      </c>
      <c r="AS98" t="s">
        <v>0</v>
      </c>
      <c r="AT98" t="s">
        <v>3</v>
      </c>
      <c r="AU98" t="s">
        <v>4</v>
      </c>
      <c r="AV98" t="s">
        <v>5</v>
      </c>
      <c r="AW98" t="s">
        <v>6</v>
      </c>
      <c r="AX98" t="s">
        <v>7</v>
      </c>
      <c r="AY98" t="s">
        <v>5</v>
      </c>
      <c r="AZ98" t="s">
        <v>6</v>
      </c>
      <c r="BA98" t="s">
        <v>7</v>
      </c>
      <c r="BB98" t="s">
        <v>5</v>
      </c>
      <c r="BC98" t="s">
        <v>6</v>
      </c>
      <c r="BD98" t="s">
        <v>7</v>
      </c>
    </row>
    <row r="99" spans="1:56" x14ac:dyDescent="0.2">
      <c r="A99">
        <v>1</v>
      </c>
      <c r="B99">
        <v>5</v>
      </c>
      <c r="C99">
        <v>0.93700000000000006</v>
      </c>
      <c r="D99">
        <v>0.17</v>
      </c>
      <c r="E99">
        <v>0.93700000000000006</v>
      </c>
      <c r="F99">
        <v>0.17</v>
      </c>
      <c r="G99">
        <v>0.44</v>
      </c>
      <c r="H99">
        <v>0.44</v>
      </c>
      <c r="J99">
        <v>1</v>
      </c>
      <c r="K99">
        <v>4</v>
      </c>
      <c r="L99">
        <v>0.96399999999999997</v>
      </c>
      <c r="M99">
        <v>0.72</v>
      </c>
      <c r="N99">
        <v>0.95199999999999996</v>
      </c>
      <c r="O99">
        <v>0.96399999999999997</v>
      </c>
      <c r="P99">
        <v>0.72</v>
      </c>
      <c r="Q99">
        <v>0.95199999999999996</v>
      </c>
      <c r="R99">
        <v>0.2</v>
      </c>
      <c r="S99">
        <v>0.2</v>
      </c>
      <c r="T99">
        <v>0.25</v>
      </c>
      <c r="V99">
        <v>1</v>
      </c>
      <c r="W99">
        <v>4</v>
      </c>
      <c r="X99">
        <v>0.96399999999999997</v>
      </c>
      <c r="Y99">
        <v>0.72</v>
      </c>
      <c r="Z99">
        <v>0.95199999999999996</v>
      </c>
      <c r="AA99">
        <v>0.96399999999999997</v>
      </c>
      <c r="AB99">
        <v>0.72</v>
      </c>
      <c r="AC99">
        <v>0.95199999999999996</v>
      </c>
      <c r="AD99">
        <v>0.44</v>
      </c>
      <c r="AE99">
        <v>0.44</v>
      </c>
      <c r="AF99">
        <v>1</v>
      </c>
      <c r="AH99">
        <v>1</v>
      </c>
      <c r="AI99">
        <v>4</v>
      </c>
      <c r="AJ99">
        <v>0.99299999999999999</v>
      </c>
      <c r="AK99">
        <v>0.95</v>
      </c>
      <c r="AL99">
        <v>1</v>
      </c>
      <c r="AM99">
        <v>0.99299999999999999</v>
      </c>
      <c r="AN99">
        <v>0.95</v>
      </c>
      <c r="AO99">
        <v>1</v>
      </c>
      <c r="AP99">
        <v>0.95</v>
      </c>
      <c r="AQ99">
        <v>0.95</v>
      </c>
      <c r="AR99">
        <v>1</v>
      </c>
      <c r="AT99">
        <v>1</v>
      </c>
      <c r="AU99">
        <v>4</v>
      </c>
      <c r="AV99">
        <v>0.96399999999999997</v>
      </c>
      <c r="AW99">
        <v>0.72</v>
      </c>
      <c r="AX99">
        <v>0.95199999999999996</v>
      </c>
      <c r="AY99">
        <v>0.96399999999999997</v>
      </c>
      <c r="AZ99">
        <v>0.72</v>
      </c>
      <c r="BA99">
        <v>0.95199999999999996</v>
      </c>
      <c r="BB99">
        <v>0.44</v>
      </c>
      <c r="BC99">
        <v>0.44</v>
      </c>
      <c r="BD99">
        <v>1</v>
      </c>
    </row>
    <row r="100" spans="1:56" x14ac:dyDescent="0.2">
      <c r="A100">
        <v>2</v>
      </c>
      <c r="B100">
        <v>4</v>
      </c>
      <c r="C100">
        <v>0.91100000000000003</v>
      </c>
      <c r="D100">
        <v>0.74</v>
      </c>
      <c r="E100">
        <v>0.91100000000000003</v>
      </c>
      <c r="F100">
        <v>0.74</v>
      </c>
      <c r="G100">
        <v>0.54</v>
      </c>
      <c r="H100">
        <v>0.54</v>
      </c>
      <c r="J100">
        <v>2</v>
      </c>
      <c r="K100">
        <v>4</v>
      </c>
      <c r="L100">
        <v>0.91100000000000003</v>
      </c>
      <c r="M100">
        <v>0.74</v>
      </c>
      <c r="N100">
        <v>1</v>
      </c>
      <c r="O100">
        <v>0.91100000000000003</v>
      </c>
      <c r="P100">
        <v>0.74</v>
      </c>
      <c r="Q100">
        <v>1</v>
      </c>
      <c r="R100">
        <v>0.54</v>
      </c>
      <c r="S100">
        <v>0.54</v>
      </c>
      <c r="T100">
        <v>1</v>
      </c>
      <c r="V100">
        <v>2</v>
      </c>
      <c r="W100">
        <v>4</v>
      </c>
      <c r="X100">
        <v>0.91100000000000003</v>
      </c>
      <c r="Y100">
        <v>0.74</v>
      </c>
      <c r="Z100">
        <v>1</v>
      </c>
      <c r="AA100">
        <v>0.91100000000000003</v>
      </c>
      <c r="AB100">
        <v>0.74</v>
      </c>
      <c r="AC100">
        <v>1</v>
      </c>
      <c r="AD100">
        <v>0.54</v>
      </c>
      <c r="AE100">
        <v>0.54</v>
      </c>
      <c r="AF100">
        <v>1</v>
      </c>
      <c r="AT100">
        <v>2</v>
      </c>
      <c r="AU100">
        <v>4</v>
      </c>
      <c r="AV100">
        <v>0.91100000000000003</v>
      </c>
      <c r="AW100">
        <v>0.74</v>
      </c>
      <c r="AX100">
        <v>1</v>
      </c>
      <c r="AY100">
        <v>0.91100000000000003</v>
      </c>
      <c r="AZ100">
        <v>0.74</v>
      </c>
      <c r="BA100">
        <v>1</v>
      </c>
      <c r="BB100">
        <v>0.54</v>
      </c>
      <c r="BC100">
        <v>0.54</v>
      </c>
      <c r="BD100">
        <v>1</v>
      </c>
    </row>
    <row r="101" spans="1:56" x14ac:dyDescent="0.2">
      <c r="A101">
        <v>3</v>
      </c>
      <c r="B101">
        <v>4</v>
      </c>
      <c r="C101">
        <v>0.99299999999999999</v>
      </c>
      <c r="D101">
        <v>0.95</v>
      </c>
      <c r="E101">
        <v>0.99299999999999999</v>
      </c>
      <c r="F101">
        <v>0.95</v>
      </c>
      <c r="G101">
        <v>0.95</v>
      </c>
      <c r="H101">
        <v>0.95</v>
      </c>
      <c r="J101">
        <v>3</v>
      </c>
      <c r="K101">
        <v>4</v>
      </c>
      <c r="L101">
        <v>0.99299999999999999</v>
      </c>
      <c r="M101">
        <v>0.95</v>
      </c>
      <c r="N101">
        <v>1</v>
      </c>
      <c r="O101">
        <v>0.99299999999999999</v>
      </c>
      <c r="P101">
        <v>0.95</v>
      </c>
      <c r="Q101">
        <v>1</v>
      </c>
      <c r="R101">
        <v>0.95</v>
      </c>
      <c r="S101">
        <v>0.95</v>
      </c>
      <c r="T101">
        <v>1</v>
      </c>
      <c r="V101">
        <v>3</v>
      </c>
      <c r="W101">
        <v>4</v>
      </c>
      <c r="X101">
        <v>0.99299999999999999</v>
      </c>
      <c r="Y101">
        <v>0.95</v>
      </c>
      <c r="Z101">
        <v>1</v>
      </c>
      <c r="AA101">
        <v>0.99299999999999999</v>
      </c>
      <c r="AB101">
        <v>0.95</v>
      </c>
      <c r="AC101">
        <v>1</v>
      </c>
      <c r="AD101">
        <v>0.95</v>
      </c>
      <c r="AE101">
        <v>0.95</v>
      </c>
      <c r="AF101">
        <v>1</v>
      </c>
      <c r="AT101">
        <v>3</v>
      </c>
      <c r="AU101">
        <v>4</v>
      </c>
      <c r="AV101">
        <v>0.99299999999999999</v>
      </c>
      <c r="AW101">
        <v>0.95</v>
      </c>
      <c r="AX101">
        <v>1</v>
      </c>
      <c r="AY101">
        <v>0.99299999999999999</v>
      </c>
      <c r="AZ101">
        <v>0.95</v>
      </c>
      <c r="BA101">
        <v>1</v>
      </c>
      <c r="BB101">
        <v>0.95</v>
      </c>
      <c r="BC101">
        <v>0.95</v>
      </c>
      <c r="BD101">
        <v>1</v>
      </c>
    </row>
    <row r="102" spans="1:56" x14ac:dyDescent="0.2">
      <c r="A102">
        <v>4</v>
      </c>
      <c r="B102">
        <v>5</v>
      </c>
      <c r="C102">
        <v>0.79900000000000004</v>
      </c>
      <c r="D102">
        <v>0.1</v>
      </c>
      <c r="E102">
        <v>0.79700000000000004</v>
      </c>
      <c r="F102">
        <v>0.09</v>
      </c>
      <c r="G102">
        <v>0.56000000000000005</v>
      </c>
      <c r="H102">
        <v>0.56000000000000005</v>
      </c>
    </row>
    <row r="107" spans="1:56" x14ac:dyDescent="0.2">
      <c r="A107">
        <f>COUNT(A109:A113)</f>
        <v>4</v>
      </c>
      <c r="B107">
        <f>COUNTIF(B109:B113,"&gt;4")</f>
        <v>2</v>
      </c>
      <c r="D107" t="s">
        <v>0</v>
      </c>
      <c r="E107" t="s">
        <v>1</v>
      </c>
      <c r="F107" t="s">
        <v>0</v>
      </c>
      <c r="G107" t="s">
        <v>2</v>
      </c>
      <c r="H107" t="s">
        <v>0</v>
      </c>
      <c r="I107" t="s">
        <v>0</v>
      </c>
      <c r="J107">
        <f>COUNT(J109:J113)</f>
        <v>2</v>
      </c>
      <c r="K107">
        <f>COUNTIF(K109:K113,"&gt;4")</f>
        <v>0</v>
      </c>
      <c r="M107">
        <f>COUNTIF(M109:M113,1)</f>
        <v>0</v>
      </c>
      <c r="N107">
        <f>COUNTIF(N109:N113,1)</f>
        <v>0</v>
      </c>
      <c r="O107">
        <f>COUNTIF(O109:O113,"&gt;0")</f>
        <v>2</v>
      </c>
      <c r="P107">
        <f>COUNTIF(P109:P113,1)</f>
        <v>0</v>
      </c>
      <c r="Q107">
        <f>COUNTIF(Q109:Q113,1)</f>
        <v>0</v>
      </c>
      <c r="S107">
        <f>COUNTIF(S109:S113,1)</f>
        <v>0</v>
      </c>
      <c r="T107">
        <f>COUNTIFS(T109:T113,1,K109:K113,"&gt;4")</f>
        <v>0</v>
      </c>
      <c r="U107" t="s">
        <v>0</v>
      </c>
      <c r="V107">
        <f>COUNT(V109:V113)</f>
        <v>1</v>
      </c>
      <c r="W107">
        <f>COUNTIF(W109:W113,"&gt;4")</f>
        <v>0</v>
      </c>
      <c r="Y107">
        <f>COUNTIF(Y109:Y113,1)</f>
        <v>0</v>
      </c>
      <c r="Z107">
        <f>COUNTIF(Z109:Z113,1)</f>
        <v>0</v>
      </c>
      <c r="AA107">
        <f>COUNTIF(AA109:AA113,"&gt;0")</f>
        <v>1</v>
      </c>
      <c r="AB107">
        <f>COUNTIF(AB109:AB113,1)</f>
        <v>0</v>
      </c>
      <c r="AC107">
        <f>COUNTIF(AC109:AC113,1)</f>
        <v>0</v>
      </c>
      <c r="AE107">
        <f>COUNTIF(AE109:AE113,1)</f>
        <v>0</v>
      </c>
      <c r="AF107">
        <f>COUNTIFS(AF109:AF113,1,W109:W113,"&gt;4")</f>
        <v>0</v>
      </c>
      <c r="AG107" t="s">
        <v>0</v>
      </c>
      <c r="AH107">
        <f>COUNT(AH109:AH113)</f>
        <v>1</v>
      </c>
      <c r="AI107">
        <f>COUNTIF(AI109:AI113,"&gt;4")</f>
        <v>0</v>
      </c>
      <c r="AK107">
        <f>COUNTIF(AK109:AK113,1)</f>
        <v>0</v>
      </c>
      <c r="AL107">
        <f>COUNTIF(AL109:AL113,1)</f>
        <v>0</v>
      </c>
      <c r="AM107">
        <f>COUNTIF(AM109:AM113,"&gt;0")</f>
        <v>1</v>
      </c>
      <c r="AN107">
        <f>COUNTIF(AN109:AN113,1)</f>
        <v>0</v>
      </c>
      <c r="AO107">
        <f>COUNTIF(AO109:AO113,1)</f>
        <v>0</v>
      </c>
      <c r="AQ107">
        <f>COUNTIF(AQ109:AQ113,1)</f>
        <v>0</v>
      </c>
      <c r="AR107">
        <f>COUNTIFS(AR109:AR113,1,AI109:AI113,"&gt;4")</f>
        <v>0</v>
      </c>
      <c r="AS107" t="s">
        <v>0</v>
      </c>
      <c r="AT107">
        <f>COUNT(AT109:AT113)</f>
        <v>1</v>
      </c>
      <c r="AU107">
        <f>COUNTIF(AU109:AU113,"&gt;4")</f>
        <v>0</v>
      </c>
      <c r="AW107">
        <f>COUNTIF(AW109:AW113,1)</f>
        <v>0</v>
      </c>
      <c r="AX107">
        <f>COUNTIF(AX109:AX113,1)</f>
        <v>0</v>
      </c>
      <c r="AY107">
        <f>COUNTIF(AY109:AY113,"&gt;0")</f>
        <v>1</v>
      </c>
      <c r="AZ107">
        <f>COUNTIF(AZ109:AZ113,1)</f>
        <v>0</v>
      </c>
      <c r="BA107">
        <f>COUNTIF(BA109:BA113,1)</f>
        <v>0</v>
      </c>
      <c r="BC107">
        <f>COUNTIF(BC109:BC113,1)</f>
        <v>0</v>
      </c>
      <c r="BD107">
        <f>COUNTIFS(BD109:BD113,1,AU109:AU113,"&gt;4")</f>
        <v>0</v>
      </c>
    </row>
    <row r="108" spans="1:56" x14ac:dyDescent="0.2">
      <c r="A108" t="s">
        <v>3</v>
      </c>
      <c r="B108" t="s">
        <v>4</v>
      </c>
      <c r="C108" t="s">
        <v>5</v>
      </c>
      <c r="D108" t="s">
        <v>6</v>
      </c>
      <c r="E108" t="s">
        <v>5</v>
      </c>
      <c r="F108" t="s">
        <v>6</v>
      </c>
      <c r="G108" t="s">
        <v>5</v>
      </c>
      <c r="H108" t="s">
        <v>6</v>
      </c>
      <c r="I108" t="s">
        <v>0</v>
      </c>
      <c r="J108" t="s">
        <v>3</v>
      </c>
      <c r="K108" t="s">
        <v>4</v>
      </c>
      <c r="L108" t="s">
        <v>5</v>
      </c>
      <c r="M108" t="s">
        <v>6</v>
      </c>
      <c r="N108" t="s">
        <v>7</v>
      </c>
      <c r="O108" t="s">
        <v>5</v>
      </c>
      <c r="P108" t="s">
        <v>6</v>
      </c>
      <c r="Q108" t="s">
        <v>8</v>
      </c>
      <c r="R108" t="s">
        <v>5</v>
      </c>
      <c r="S108" t="s">
        <v>6</v>
      </c>
      <c r="T108" t="s">
        <v>7</v>
      </c>
      <c r="U108" t="s">
        <v>0</v>
      </c>
      <c r="V108" t="s">
        <v>3</v>
      </c>
      <c r="W108" t="s">
        <v>4</v>
      </c>
      <c r="X108" t="s">
        <v>5</v>
      </c>
      <c r="Y108" t="s">
        <v>6</v>
      </c>
      <c r="Z108" t="s">
        <v>7</v>
      </c>
      <c r="AA108" t="s">
        <v>5</v>
      </c>
      <c r="AB108" t="s">
        <v>6</v>
      </c>
      <c r="AC108" t="s">
        <v>7</v>
      </c>
      <c r="AD108" t="s">
        <v>5</v>
      </c>
      <c r="AE108" t="s">
        <v>6</v>
      </c>
      <c r="AF108" t="s">
        <v>7</v>
      </c>
      <c r="AG108" t="s">
        <v>0</v>
      </c>
      <c r="AH108" t="s">
        <v>3</v>
      </c>
      <c r="AI108" t="s">
        <v>4</v>
      </c>
      <c r="AJ108" t="s">
        <v>5</v>
      </c>
      <c r="AK108" t="s">
        <v>6</v>
      </c>
      <c r="AL108" t="s">
        <v>7</v>
      </c>
      <c r="AM108" t="s">
        <v>5</v>
      </c>
      <c r="AN108" t="s">
        <v>6</v>
      </c>
      <c r="AO108" t="s">
        <v>7</v>
      </c>
      <c r="AP108" t="s">
        <v>5</v>
      </c>
      <c r="AQ108" t="s">
        <v>6</v>
      </c>
      <c r="AR108" t="s">
        <v>7</v>
      </c>
      <c r="AS108" t="s">
        <v>0</v>
      </c>
      <c r="AT108" t="s">
        <v>3</v>
      </c>
      <c r="AU108" t="s">
        <v>4</v>
      </c>
      <c r="AV108" t="s">
        <v>5</v>
      </c>
      <c r="AW108" t="s">
        <v>6</v>
      </c>
      <c r="AX108" t="s">
        <v>7</v>
      </c>
      <c r="AY108" t="s">
        <v>5</v>
      </c>
      <c r="AZ108" t="s">
        <v>6</v>
      </c>
      <c r="BA108" t="s">
        <v>7</v>
      </c>
      <c r="BB108" t="s">
        <v>5</v>
      </c>
      <c r="BC108" t="s">
        <v>6</v>
      </c>
      <c r="BD108" t="s">
        <v>7</v>
      </c>
    </row>
    <row r="109" spans="1:56" x14ac:dyDescent="0.2">
      <c r="A109">
        <v>1</v>
      </c>
      <c r="B109">
        <v>5</v>
      </c>
      <c r="C109">
        <v>0.95799999999999996</v>
      </c>
      <c r="D109">
        <v>0.24</v>
      </c>
      <c r="E109">
        <v>0.94699999999999995</v>
      </c>
      <c r="F109">
        <v>0.02</v>
      </c>
      <c r="G109">
        <v>0.21199999999999999</v>
      </c>
      <c r="H109">
        <v>0.14000000000000001</v>
      </c>
      <c r="J109">
        <v>1</v>
      </c>
      <c r="K109">
        <v>4</v>
      </c>
      <c r="L109">
        <v>0.98</v>
      </c>
      <c r="M109">
        <v>0.73</v>
      </c>
      <c r="N109">
        <v>0.95199999999999996</v>
      </c>
      <c r="O109">
        <v>0.98</v>
      </c>
      <c r="P109">
        <v>0.73</v>
      </c>
      <c r="Q109">
        <v>0.95199999999999996</v>
      </c>
      <c r="R109">
        <v>0.75</v>
      </c>
      <c r="S109">
        <v>0.75</v>
      </c>
      <c r="T109">
        <v>0</v>
      </c>
      <c r="V109">
        <v>1</v>
      </c>
      <c r="W109">
        <v>4</v>
      </c>
      <c r="X109">
        <v>0.98</v>
      </c>
      <c r="Y109">
        <v>0.73</v>
      </c>
      <c r="Z109">
        <v>0.95199999999999996</v>
      </c>
      <c r="AA109">
        <v>0.98</v>
      </c>
      <c r="AB109">
        <v>0.73</v>
      </c>
      <c r="AC109">
        <v>0.95199999999999996</v>
      </c>
      <c r="AD109">
        <v>0.75</v>
      </c>
      <c r="AE109">
        <v>0.75</v>
      </c>
      <c r="AF109">
        <v>0</v>
      </c>
      <c r="AH109">
        <v>1</v>
      </c>
      <c r="AI109">
        <v>4</v>
      </c>
      <c r="AJ109">
        <v>0.98</v>
      </c>
      <c r="AK109">
        <v>0.73</v>
      </c>
      <c r="AL109">
        <v>0.95199999999999996</v>
      </c>
      <c r="AM109">
        <v>0.98</v>
      </c>
      <c r="AN109">
        <v>0.73</v>
      </c>
      <c r="AO109">
        <v>0.95199999999999996</v>
      </c>
      <c r="AP109">
        <v>0.75</v>
      </c>
      <c r="AQ109">
        <v>0.75</v>
      </c>
      <c r="AR109">
        <v>0</v>
      </c>
      <c r="AT109">
        <v>1</v>
      </c>
      <c r="AU109">
        <v>4</v>
      </c>
      <c r="AV109">
        <v>0.98</v>
      </c>
      <c r="AW109">
        <v>0.73</v>
      </c>
      <c r="AX109">
        <v>0.95199999999999996</v>
      </c>
      <c r="AY109">
        <v>0.98</v>
      </c>
      <c r="AZ109">
        <v>0.73</v>
      </c>
      <c r="BA109">
        <v>0.95199999999999996</v>
      </c>
      <c r="BB109">
        <v>0.75</v>
      </c>
      <c r="BC109">
        <v>0.75</v>
      </c>
      <c r="BD109">
        <v>0</v>
      </c>
    </row>
    <row r="110" spans="1:56" x14ac:dyDescent="0.2">
      <c r="A110">
        <v>2</v>
      </c>
      <c r="B110">
        <v>4</v>
      </c>
      <c r="C110">
        <v>0.501</v>
      </c>
      <c r="D110">
        <v>0.15</v>
      </c>
      <c r="E110">
        <v>0.501</v>
      </c>
      <c r="F110">
        <v>0.15</v>
      </c>
      <c r="G110">
        <v>4.8000000000000001E-2</v>
      </c>
      <c r="H110">
        <v>0.03</v>
      </c>
      <c r="J110">
        <v>2</v>
      </c>
      <c r="K110">
        <v>4</v>
      </c>
      <c r="L110">
        <v>0.69499999999999995</v>
      </c>
      <c r="M110">
        <v>0.37</v>
      </c>
      <c r="N110">
        <v>0.76200000000000001</v>
      </c>
      <c r="O110">
        <v>0.69499999999999995</v>
      </c>
      <c r="P110">
        <v>0.37</v>
      </c>
      <c r="Q110">
        <v>0.76200000000000001</v>
      </c>
      <c r="R110">
        <v>0.59</v>
      </c>
      <c r="S110">
        <v>0.59</v>
      </c>
      <c r="T110">
        <v>1</v>
      </c>
    </row>
    <row r="111" spans="1:56" x14ac:dyDescent="0.2">
      <c r="A111">
        <v>3</v>
      </c>
      <c r="B111">
        <v>5</v>
      </c>
      <c r="C111">
        <v>0.68</v>
      </c>
      <c r="D111">
        <v>0.22</v>
      </c>
      <c r="E111">
        <v>0.68</v>
      </c>
      <c r="F111">
        <v>0.22</v>
      </c>
      <c r="G111">
        <v>0.59</v>
      </c>
      <c r="H111">
        <v>0.59</v>
      </c>
    </row>
    <row r="112" spans="1:56" x14ac:dyDescent="0.2">
      <c r="A112">
        <v>4</v>
      </c>
      <c r="B112">
        <v>4</v>
      </c>
      <c r="C112">
        <v>0.66400000000000003</v>
      </c>
      <c r="D112">
        <v>0.11</v>
      </c>
      <c r="E112">
        <v>0.66400000000000003</v>
      </c>
      <c r="F112">
        <v>0.11</v>
      </c>
      <c r="G112">
        <v>6.4000000000000001E-2</v>
      </c>
      <c r="H112">
        <v>0.04</v>
      </c>
    </row>
    <row r="117" spans="1:56" x14ac:dyDescent="0.2">
      <c r="A117">
        <f>COUNT(A119:A123)</f>
        <v>2</v>
      </c>
      <c r="B117">
        <f>COUNTIF(B119:B123,"&gt;4")</f>
        <v>2</v>
      </c>
      <c r="D117" t="s">
        <v>0</v>
      </c>
      <c r="E117" t="s">
        <v>1</v>
      </c>
      <c r="F117" t="s">
        <v>0</v>
      </c>
      <c r="G117" t="s">
        <v>2</v>
      </c>
      <c r="H117" t="s">
        <v>0</v>
      </c>
      <c r="I117" t="s">
        <v>0</v>
      </c>
      <c r="J117">
        <f>COUNT(J119:J123)</f>
        <v>3</v>
      </c>
      <c r="K117">
        <f>COUNTIF(K119:K123,"&gt;4")</f>
        <v>2</v>
      </c>
      <c r="M117">
        <f>COUNTIF(M119:M123,1)</f>
        <v>0</v>
      </c>
      <c r="N117">
        <f>COUNTIF(N119:N123,1)</f>
        <v>2</v>
      </c>
      <c r="O117">
        <f>COUNTIF(O119:O123,"&gt;0")</f>
        <v>3</v>
      </c>
      <c r="P117">
        <f>COUNTIF(P119:P123,1)</f>
        <v>0</v>
      </c>
      <c r="Q117">
        <f>COUNTIF(Q119:Q123,1)</f>
        <v>2</v>
      </c>
      <c r="S117">
        <f>COUNTIF(S119:S123,1)</f>
        <v>2</v>
      </c>
      <c r="T117">
        <f>COUNTIFS(T119:T123,1,K119:K123,"&gt;4")</f>
        <v>2</v>
      </c>
      <c r="U117" t="s">
        <v>0</v>
      </c>
      <c r="V117">
        <f>COUNT(V119:V123)</f>
        <v>2</v>
      </c>
      <c r="W117">
        <f>COUNTIF(W119:W123,"&gt;4")</f>
        <v>2</v>
      </c>
      <c r="Y117">
        <f>COUNTIF(Y119:Y123,1)</f>
        <v>0</v>
      </c>
      <c r="Z117">
        <f>COUNTIF(Z119:Z123,1)</f>
        <v>2</v>
      </c>
      <c r="AA117">
        <f>COUNTIF(AA119:AA123,"&gt;0")</f>
        <v>2</v>
      </c>
      <c r="AB117">
        <f>COUNTIF(AB119:AB123,1)</f>
        <v>0</v>
      </c>
      <c r="AC117">
        <f>COUNTIF(AC119:AC123,1)</f>
        <v>2</v>
      </c>
      <c r="AE117">
        <f>COUNTIF(AE119:AE123,1)</f>
        <v>2</v>
      </c>
      <c r="AF117">
        <f>COUNTIFS(AF119:AF123,1,W119:W123,"&gt;4")</f>
        <v>2</v>
      </c>
      <c r="AG117" t="s">
        <v>0</v>
      </c>
      <c r="AH117">
        <f>COUNT(AH119:AH123)</f>
        <v>2</v>
      </c>
      <c r="AI117">
        <f>COUNTIF(AI119:AI123,"&gt;4")</f>
        <v>2</v>
      </c>
      <c r="AK117">
        <f>COUNTIF(AK119:AK123,1)</f>
        <v>0</v>
      </c>
      <c r="AL117">
        <f>COUNTIF(AL119:AL123,1)</f>
        <v>2</v>
      </c>
      <c r="AM117">
        <f>COUNTIF(AM119:AM123,"&gt;0")</f>
        <v>1</v>
      </c>
      <c r="AN117">
        <f>COUNTIF(AN119:AN123,1)</f>
        <v>0</v>
      </c>
      <c r="AO117">
        <f>COUNTIF(AO119:AO123,1)</f>
        <v>1</v>
      </c>
      <c r="AQ117">
        <f>COUNTIF(AQ119:AQ123,1)</f>
        <v>2</v>
      </c>
      <c r="AR117">
        <f>COUNTIFS(AR119:AR123,1,AI119:AI123,"&gt;4")</f>
        <v>2</v>
      </c>
      <c r="AS117" t="s">
        <v>0</v>
      </c>
      <c r="AT117">
        <f>COUNT(AT119:AT123)</f>
        <v>2</v>
      </c>
      <c r="AU117">
        <f>COUNTIF(AU119:AU123,"&gt;4")</f>
        <v>2</v>
      </c>
      <c r="AW117">
        <f>COUNTIF(AW119:AW123,1)</f>
        <v>0</v>
      </c>
      <c r="AX117">
        <f>COUNTIF(AX119:AX123,1)</f>
        <v>2</v>
      </c>
      <c r="AY117">
        <f>COUNTIF(AY119:AY123,"&gt;0")</f>
        <v>2</v>
      </c>
      <c r="AZ117">
        <f>COUNTIF(AZ119:AZ123,1)</f>
        <v>0</v>
      </c>
      <c r="BA117">
        <f>COUNTIF(BA119:BA123,1)</f>
        <v>2</v>
      </c>
      <c r="BC117">
        <f>COUNTIF(BC119:BC123,1)</f>
        <v>2</v>
      </c>
      <c r="BD117">
        <f>COUNTIFS(BD119:BD123,1,AU119:AU123,"&gt;4")</f>
        <v>2</v>
      </c>
    </row>
    <row r="118" spans="1:56" x14ac:dyDescent="0.2">
      <c r="A118" t="s">
        <v>3</v>
      </c>
      <c r="B118" t="s">
        <v>4</v>
      </c>
      <c r="C118" t="s">
        <v>5</v>
      </c>
      <c r="D118" t="s">
        <v>6</v>
      </c>
      <c r="E118" t="s">
        <v>5</v>
      </c>
      <c r="F118" t="s">
        <v>6</v>
      </c>
      <c r="G118" t="s">
        <v>5</v>
      </c>
      <c r="H118" t="s">
        <v>6</v>
      </c>
      <c r="I118" t="s">
        <v>0</v>
      </c>
      <c r="J118" t="s">
        <v>3</v>
      </c>
      <c r="K118" t="s">
        <v>4</v>
      </c>
      <c r="L118" t="s">
        <v>5</v>
      </c>
      <c r="M118" t="s">
        <v>6</v>
      </c>
      <c r="N118" t="s">
        <v>7</v>
      </c>
      <c r="O118" t="s">
        <v>5</v>
      </c>
      <c r="P118" t="s">
        <v>6</v>
      </c>
      <c r="Q118" t="s">
        <v>8</v>
      </c>
      <c r="R118" t="s">
        <v>5</v>
      </c>
      <c r="S118" t="s">
        <v>6</v>
      </c>
      <c r="T118" t="s">
        <v>7</v>
      </c>
      <c r="U118" t="s">
        <v>0</v>
      </c>
      <c r="V118" t="s">
        <v>3</v>
      </c>
      <c r="W118" t="s">
        <v>4</v>
      </c>
      <c r="X118" t="s">
        <v>5</v>
      </c>
      <c r="Y118" t="s">
        <v>6</v>
      </c>
      <c r="Z118" t="s">
        <v>7</v>
      </c>
      <c r="AA118" t="s">
        <v>5</v>
      </c>
      <c r="AB118" t="s">
        <v>6</v>
      </c>
      <c r="AC118" t="s">
        <v>7</v>
      </c>
      <c r="AD118" t="s">
        <v>5</v>
      </c>
      <c r="AE118" t="s">
        <v>6</v>
      </c>
      <c r="AF118" t="s">
        <v>7</v>
      </c>
      <c r="AG118" t="s">
        <v>0</v>
      </c>
      <c r="AH118" t="s">
        <v>3</v>
      </c>
      <c r="AI118" t="s">
        <v>4</v>
      </c>
      <c r="AJ118" t="s">
        <v>5</v>
      </c>
      <c r="AK118" t="s">
        <v>6</v>
      </c>
      <c r="AL118" t="s">
        <v>7</v>
      </c>
      <c r="AM118" t="s">
        <v>5</v>
      </c>
      <c r="AN118" t="s">
        <v>6</v>
      </c>
      <c r="AO118" t="s">
        <v>7</v>
      </c>
      <c r="AP118" t="s">
        <v>5</v>
      </c>
      <c r="AQ118" t="s">
        <v>6</v>
      </c>
      <c r="AR118" t="s">
        <v>7</v>
      </c>
      <c r="AS118" t="s">
        <v>0</v>
      </c>
      <c r="AT118" t="s">
        <v>3</v>
      </c>
      <c r="AU118" t="s">
        <v>4</v>
      </c>
      <c r="AV118" t="s">
        <v>5</v>
      </c>
      <c r="AW118" t="s">
        <v>6</v>
      </c>
      <c r="AX118" t="s">
        <v>7</v>
      </c>
      <c r="AY118" t="s">
        <v>5</v>
      </c>
      <c r="AZ118" t="s">
        <v>6</v>
      </c>
      <c r="BA118" t="s">
        <v>7</v>
      </c>
      <c r="BB118" t="s">
        <v>5</v>
      </c>
      <c r="BC118" t="s">
        <v>6</v>
      </c>
      <c r="BD118" t="s">
        <v>7</v>
      </c>
    </row>
    <row r="119" spans="1:56" x14ac:dyDescent="0.2">
      <c r="A119">
        <v>1</v>
      </c>
      <c r="B119">
        <v>7</v>
      </c>
      <c r="C119">
        <v>0.99299999999999999</v>
      </c>
      <c r="D119">
        <v>0.85</v>
      </c>
      <c r="E119">
        <v>0.99299999999999999</v>
      </c>
      <c r="F119">
        <v>0.85</v>
      </c>
      <c r="G119">
        <v>1</v>
      </c>
      <c r="H119">
        <v>1</v>
      </c>
      <c r="J119">
        <v>1</v>
      </c>
      <c r="K119">
        <v>7</v>
      </c>
      <c r="L119">
        <v>0.99299999999999999</v>
      </c>
      <c r="M119">
        <v>0.85</v>
      </c>
      <c r="N119">
        <v>1</v>
      </c>
      <c r="O119">
        <v>0.99299999999999999</v>
      </c>
      <c r="P119">
        <v>0.85</v>
      </c>
      <c r="Q119">
        <v>1</v>
      </c>
      <c r="R119">
        <v>1</v>
      </c>
      <c r="S119">
        <v>1</v>
      </c>
      <c r="T119">
        <v>1</v>
      </c>
      <c r="V119">
        <v>1</v>
      </c>
      <c r="W119">
        <v>7</v>
      </c>
      <c r="X119">
        <v>0.99299999999999999</v>
      </c>
      <c r="Y119">
        <v>0.85</v>
      </c>
      <c r="Z119">
        <v>1</v>
      </c>
      <c r="AA119">
        <v>0.99299999999999999</v>
      </c>
      <c r="AB119">
        <v>0.85</v>
      </c>
      <c r="AC119">
        <v>1</v>
      </c>
      <c r="AD119">
        <v>1</v>
      </c>
      <c r="AE119">
        <v>1</v>
      </c>
      <c r="AF119">
        <v>1</v>
      </c>
      <c r="AH119">
        <v>1</v>
      </c>
      <c r="AI119">
        <v>7</v>
      </c>
      <c r="AJ119">
        <v>0.99299999999999999</v>
      </c>
      <c r="AK119">
        <v>0.85</v>
      </c>
      <c r="AL119">
        <v>1</v>
      </c>
      <c r="AM119">
        <v>0.99299999999999999</v>
      </c>
      <c r="AN119">
        <v>0.85</v>
      </c>
      <c r="AO119">
        <v>1</v>
      </c>
      <c r="AP119">
        <v>1</v>
      </c>
      <c r="AQ119">
        <v>1</v>
      </c>
      <c r="AR119">
        <v>1</v>
      </c>
      <c r="AT119">
        <v>1</v>
      </c>
      <c r="AU119">
        <v>7</v>
      </c>
      <c r="AV119">
        <v>0.99299999999999999</v>
      </c>
      <c r="AW119">
        <v>0.85</v>
      </c>
      <c r="AX119">
        <v>1</v>
      </c>
      <c r="AY119">
        <v>0.99299999999999999</v>
      </c>
      <c r="AZ119">
        <v>0.85</v>
      </c>
      <c r="BA119">
        <v>1</v>
      </c>
      <c r="BB119">
        <v>1</v>
      </c>
      <c r="BC119">
        <v>1</v>
      </c>
      <c r="BD119">
        <v>1</v>
      </c>
    </row>
    <row r="120" spans="1:56" x14ac:dyDescent="0.2">
      <c r="A120">
        <v>2</v>
      </c>
      <c r="B120">
        <v>6</v>
      </c>
      <c r="C120">
        <v>0.98199999999999998</v>
      </c>
      <c r="D120">
        <v>0.63</v>
      </c>
      <c r="E120">
        <v>0.98199999999999998</v>
      </c>
      <c r="F120">
        <v>0.63</v>
      </c>
      <c r="G120">
        <v>1</v>
      </c>
      <c r="H120">
        <v>1</v>
      </c>
      <c r="J120">
        <v>2</v>
      </c>
      <c r="K120">
        <v>4</v>
      </c>
      <c r="L120">
        <v>0.748</v>
      </c>
      <c r="M120">
        <v>0.35</v>
      </c>
      <c r="N120">
        <v>0.52400000000000002</v>
      </c>
      <c r="O120">
        <v>0.73799999999999999</v>
      </c>
      <c r="P120">
        <v>0.18</v>
      </c>
      <c r="Q120">
        <v>0.52400000000000002</v>
      </c>
      <c r="R120">
        <v>0.12</v>
      </c>
      <c r="S120">
        <v>0.12</v>
      </c>
      <c r="T120">
        <v>0</v>
      </c>
      <c r="V120">
        <v>2</v>
      </c>
      <c r="W120">
        <v>6</v>
      </c>
      <c r="X120">
        <v>0.98199999999999998</v>
      </c>
      <c r="Y120">
        <v>0.63</v>
      </c>
      <c r="Z120">
        <v>1</v>
      </c>
      <c r="AA120">
        <v>0.98199999999999998</v>
      </c>
      <c r="AB120">
        <v>0.63</v>
      </c>
      <c r="AC120">
        <v>1</v>
      </c>
      <c r="AD120">
        <v>1</v>
      </c>
      <c r="AE120">
        <v>1</v>
      </c>
      <c r="AF120">
        <v>1</v>
      </c>
      <c r="AH120">
        <v>2</v>
      </c>
      <c r="AI120">
        <v>6</v>
      </c>
      <c r="AJ120">
        <v>0.98199999999999998</v>
      </c>
      <c r="AK120">
        <v>0.63</v>
      </c>
      <c r="AL120">
        <v>1</v>
      </c>
      <c r="AP120">
        <v>1</v>
      </c>
      <c r="AQ120">
        <v>1</v>
      </c>
      <c r="AR120">
        <v>1</v>
      </c>
      <c r="AT120">
        <v>2</v>
      </c>
      <c r="AU120">
        <v>6</v>
      </c>
      <c r="AV120">
        <v>0.98199999999999998</v>
      </c>
      <c r="AW120">
        <v>0.63</v>
      </c>
      <c r="AX120">
        <v>1</v>
      </c>
      <c r="AY120">
        <v>0.98199999999999998</v>
      </c>
      <c r="AZ120">
        <v>0.63</v>
      </c>
      <c r="BA120">
        <v>1</v>
      </c>
      <c r="BB120">
        <v>1</v>
      </c>
      <c r="BC120">
        <v>1</v>
      </c>
      <c r="BD120">
        <v>1</v>
      </c>
    </row>
    <row r="121" spans="1:56" x14ac:dyDescent="0.2">
      <c r="J121">
        <v>3</v>
      </c>
      <c r="K121">
        <v>6</v>
      </c>
      <c r="L121">
        <v>0.98199999999999998</v>
      </c>
      <c r="M121">
        <v>0.63</v>
      </c>
      <c r="N121">
        <v>1</v>
      </c>
      <c r="O121">
        <v>0.98199999999999998</v>
      </c>
      <c r="P121">
        <v>0.63</v>
      </c>
      <c r="Q121">
        <v>1</v>
      </c>
      <c r="R121">
        <v>1</v>
      </c>
      <c r="S121">
        <v>1</v>
      </c>
      <c r="T121">
        <v>1</v>
      </c>
    </row>
    <row r="126" spans="1:56" x14ac:dyDescent="0.2">
      <c r="A126">
        <f>COUNT(A128:A132)</f>
        <v>4</v>
      </c>
      <c r="B126">
        <f>COUNTIF(B128:B132,"&gt;4")</f>
        <v>1</v>
      </c>
      <c r="D126" t="s">
        <v>0</v>
      </c>
      <c r="E126" t="s">
        <v>1</v>
      </c>
      <c r="F126" t="s">
        <v>0</v>
      </c>
      <c r="G126" t="s">
        <v>2</v>
      </c>
      <c r="H126" t="s">
        <v>0</v>
      </c>
      <c r="I126" t="s">
        <v>0</v>
      </c>
      <c r="J126">
        <f>COUNT(J128:J132)</f>
        <v>3</v>
      </c>
      <c r="K126">
        <f>COUNTIF(K128:K132,"&gt;4")</f>
        <v>1</v>
      </c>
      <c r="M126">
        <f>COUNTIF(M128:M132,1)</f>
        <v>0</v>
      </c>
      <c r="N126">
        <f>COUNTIF(N128:N132,1)</f>
        <v>3</v>
      </c>
      <c r="O126">
        <f>COUNTIF(O128:O132,"&gt;0")</f>
        <v>3</v>
      </c>
      <c r="P126">
        <f>COUNTIF(P128:P132,1)</f>
        <v>0</v>
      </c>
      <c r="Q126">
        <f>COUNTIF(Q128:Q132,1)</f>
        <v>3</v>
      </c>
      <c r="S126">
        <f>COUNTIF(S128:S132,1)</f>
        <v>0</v>
      </c>
      <c r="T126">
        <f>COUNTIFS(T128:T132,1,K128:K132,"&gt;4")</f>
        <v>0</v>
      </c>
      <c r="U126" t="s">
        <v>0</v>
      </c>
      <c r="V126">
        <f>COUNT(V128:V132)</f>
        <v>2</v>
      </c>
      <c r="W126">
        <f>COUNTIF(W128:W132,"&gt;4")</f>
        <v>1</v>
      </c>
      <c r="Y126">
        <f>COUNTIF(Y128:Y132,1)</f>
        <v>0</v>
      </c>
      <c r="Z126">
        <f>COUNTIF(Z128:Z132,1)</f>
        <v>2</v>
      </c>
      <c r="AA126">
        <f>COUNTIF(AA128:AA132,"&gt;0")</f>
        <v>2</v>
      </c>
      <c r="AB126">
        <f>COUNTIF(AB128:AB132,1)</f>
        <v>0</v>
      </c>
      <c r="AC126">
        <f>COUNTIF(AC128:AC132,1)</f>
        <v>2</v>
      </c>
      <c r="AE126">
        <f>COUNTIF(AE128:AE132,1)</f>
        <v>0</v>
      </c>
      <c r="AF126">
        <f>COUNTIFS(AF128:AF132,1,W128:W132,"&gt;4")</f>
        <v>0</v>
      </c>
      <c r="AG126" t="s">
        <v>0</v>
      </c>
      <c r="AH126">
        <f>COUNT(AH128:AH132)</f>
        <v>1</v>
      </c>
      <c r="AI126">
        <f>COUNTIF(AI128:AI132,"&gt;4")</f>
        <v>0</v>
      </c>
      <c r="AK126">
        <f>COUNTIF(AK128:AK132,1)</f>
        <v>0</v>
      </c>
      <c r="AL126">
        <f>COUNTIF(AL128:AL132,1)</f>
        <v>1</v>
      </c>
      <c r="AM126">
        <f>COUNTIF(AM128:AM132,"&gt;0")</f>
        <v>1</v>
      </c>
      <c r="AN126">
        <f>COUNTIF(AN128:AN132,1)</f>
        <v>0</v>
      </c>
      <c r="AO126">
        <f>COUNTIF(AO128:AO132,1)</f>
        <v>1</v>
      </c>
      <c r="AQ126">
        <f>COUNTIF(AQ128:AQ132,1)</f>
        <v>0</v>
      </c>
      <c r="AR126">
        <f>COUNTIFS(AR128:AR132,1,AI128:AI132,"&gt;4")</f>
        <v>0</v>
      </c>
      <c r="AS126" t="s">
        <v>0</v>
      </c>
      <c r="AT126">
        <f>COUNT(AT128:AT132)</f>
        <v>2</v>
      </c>
      <c r="AU126">
        <f>COUNTIF(AU128:AU132,"&gt;4")</f>
        <v>1</v>
      </c>
      <c r="AW126">
        <f>COUNTIF(AW128:AW132,1)</f>
        <v>0</v>
      </c>
      <c r="AX126">
        <f>COUNTIF(AX128:AX132,1)</f>
        <v>2</v>
      </c>
      <c r="AY126">
        <f>COUNTIF(AY128:AY132,"&gt;0")</f>
        <v>1</v>
      </c>
      <c r="AZ126">
        <f>COUNTIF(AZ128:AZ132,1)</f>
        <v>0</v>
      </c>
      <c r="BA126">
        <f>COUNTIF(BA128:BA132,1)</f>
        <v>1</v>
      </c>
      <c r="BC126">
        <f>COUNTIF(BC128:BC132,1)</f>
        <v>0</v>
      </c>
      <c r="BD126">
        <f>COUNTIFS(BD128:BD132,1,AU128:AU132,"&gt;4")</f>
        <v>0</v>
      </c>
    </row>
    <row r="127" spans="1:56" x14ac:dyDescent="0.2">
      <c r="A127" t="s">
        <v>3</v>
      </c>
      <c r="B127" t="s">
        <v>4</v>
      </c>
      <c r="C127" t="s">
        <v>5</v>
      </c>
      <c r="D127" t="s">
        <v>6</v>
      </c>
      <c r="E127" t="s">
        <v>5</v>
      </c>
      <c r="F127" t="s">
        <v>6</v>
      </c>
      <c r="G127" t="s">
        <v>5</v>
      </c>
      <c r="H127" t="s">
        <v>6</v>
      </c>
      <c r="I127" t="s">
        <v>0</v>
      </c>
      <c r="J127" t="s">
        <v>3</v>
      </c>
      <c r="K127" t="s">
        <v>4</v>
      </c>
      <c r="L127" t="s">
        <v>5</v>
      </c>
      <c r="M127" t="s">
        <v>6</v>
      </c>
      <c r="N127" t="s">
        <v>7</v>
      </c>
      <c r="O127" t="s">
        <v>5</v>
      </c>
      <c r="P127" t="s">
        <v>6</v>
      </c>
      <c r="Q127" t="s">
        <v>8</v>
      </c>
      <c r="R127" t="s">
        <v>5</v>
      </c>
      <c r="S127" t="s">
        <v>6</v>
      </c>
      <c r="T127" t="s">
        <v>7</v>
      </c>
      <c r="U127" t="s">
        <v>0</v>
      </c>
      <c r="V127" t="s">
        <v>3</v>
      </c>
      <c r="W127" t="s">
        <v>4</v>
      </c>
      <c r="X127" t="s">
        <v>5</v>
      </c>
      <c r="Y127" t="s">
        <v>6</v>
      </c>
      <c r="Z127" t="s">
        <v>7</v>
      </c>
      <c r="AA127" t="s">
        <v>5</v>
      </c>
      <c r="AB127" t="s">
        <v>6</v>
      </c>
      <c r="AC127" t="s">
        <v>7</v>
      </c>
      <c r="AD127" t="s">
        <v>5</v>
      </c>
      <c r="AE127" t="s">
        <v>6</v>
      </c>
      <c r="AF127" t="s">
        <v>7</v>
      </c>
      <c r="AG127" t="s">
        <v>0</v>
      </c>
      <c r="AH127" t="s">
        <v>3</v>
      </c>
      <c r="AI127" t="s">
        <v>4</v>
      </c>
      <c r="AJ127" t="s">
        <v>5</v>
      </c>
      <c r="AK127" t="s">
        <v>6</v>
      </c>
      <c r="AL127" t="s">
        <v>7</v>
      </c>
      <c r="AM127" t="s">
        <v>5</v>
      </c>
      <c r="AN127" t="s">
        <v>6</v>
      </c>
      <c r="AO127" t="s">
        <v>7</v>
      </c>
      <c r="AP127" t="s">
        <v>5</v>
      </c>
      <c r="AQ127" t="s">
        <v>6</v>
      </c>
      <c r="AR127" t="s">
        <v>7</v>
      </c>
      <c r="AS127" t="s">
        <v>0</v>
      </c>
      <c r="AT127" t="s">
        <v>3</v>
      </c>
      <c r="AU127" t="s">
        <v>4</v>
      </c>
      <c r="AV127" t="s">
        <v>5</v>
      </c>
      <c r="AW127" t="s">
        <v>6</v>
      </c>
      <c r="AX127" t="s">
        <v>7</v>
      </c>
      <c r="AY127" t="s">
        <v>5</v>
      </c>
      <c r="AZ127" t="s">
        <v>6</v>
      </c>
      <c r="BA127" t="s">
        <v>7</v>
      </c>
      <c r="BB127" t="s">
        <v>5</v>
      </c>
      <c r="BC127" t="s">
        <v>6</v>
      </c>
      <c r="BD127" t="s">
        <v>7</v>
      </c>
    </row>
    <row r="128" spans="1:56" x14ac:dyDescent="0.2">
      <c r="A128">
        <v>1</v>
      </c>
      <c r="B128">
        <v>4</v>
      </c>
      <c r="C128">
        <v>0.76700000000000002</v>
      </c>
      <c r="D128">
        <v>0.39</v>
      </c>
      <c r="E128">
        <v>0.76700000000000002</v>
      </c>
      <c r="F128">
        <v>0.39</v>
      </c>
      <c r="G128">
        <v>0.15</v>
      </c>
      <c r="H128">
        <v>0.15</v>
      </c>
      <c r="J128">
        <v>1</v>
      </c>
      <c r="K128">
        <v>4</v>
      </c>
      <c r="L128">
        <v>0.76700000000000002</v>
      </c>
      <c r="M128">
        <v>0.39</v>
      </c>
      <c r="N128">
        <v>1</v>
      </c>
      <c r="O128">
        <v>0.76700000000000002</v>
      </c>
      <c r="P128">
        <v>0.39</v>
      </c>
      <c r="Q128">
        <v>1</v>
      </c>
      <c r="R128">
        <v>0.22</v>
      </c>
      <c r="S128">
        <v>0.22</v>
      </c>
      <c r="T128">
        <v>0</v>
      </c>
      <c r="V128">
        <v>1</v>
      </c>
      <c r="W128">
        <v>5</v>
      </c>
      <c r="X128">
        <v>0.97299999999999998</v>
      </c>
      <c r="Y128">
        <v>0.44</v>
      </c>
      <c r="Z128">
        <v>1</v>
      </c>
      <c r="AA128">
        <v>0.97299999999999998</v>
      </c>
      <c r="AB128">
        <v>0.44</v>
      </c>
      <c r="AC128">
        <v>1</v>
      </c>
      <c r="AD128">
        <v>0.4</v>
      </c>
      <c r="AE128">
        <v>0.4</v>
      </c>
      <c r="AF128">
        <v>0</v>
      </c>
      <c r="AH128">
        <v>1</v>
      </c>
      <c r="AI128">
        <v>4</v>
      </c>
      <c r="AJ128">
        <v>0.98699999999999999</v>
      </c>
      <c r="AK128">
        <v>0.96</v>
      </c>
      <c r="AL128">
        <v>1</v>
      </c>
      <c r="AM128">
        <v>0.98699999999999999</v>
      </c>
      <c r="AN128">
        <v>0.96</v>
      </c>
      <c r="AO128">
        <v>1</v>
      </c>
      <c r="AP128">
        <v>0.95</v>
      </c>
      <c r="AQ128">
        <v>0.95</v>
      </c>
      <c r="AR128">
        <v>1</v>
      </c>
      <c r="AT128">
        <v>1</v>
      </c>
      <c r="AU128">
        <v>5</v>
      </c>
      <c r="AV128">
        <v>0.97299999999999998</v>
      </c>
      <c r="AW128">
        <v>0.44</v>
      </c>
      <c r="AX128">
        <v>1</v>
      </c>
      <c r="BB128">
        <v>0.4</v>
      </c>
      <c r="BC128">
        <v>0.4</v>
      </c>
      <c r="BD128">
        <v>0</v>
      </c>
    </row>
    <row r="129" spans="1:56" x14ac:dyDescent="0.2">
      <c r="A129">
        <v>2</v>
      </c>
      <c r="B129">
        <v>4</v>
      </c>
      <c r="C129">
        <v>0.70199999999999996</v>
      </c>
      <c r="D129">
        <v>0.11</v>
      </c>
      <c r="E129">
        <v>0.70199999999999996</v>
      </c>
      <c r="F129">
        <v>0.11</v>
      </c>
      <c r="G129">
        <v>0</v>
      </c>
      <c r="H129">
        <v>0</v>
      </c>
      <c r="J129">
        <v>2</v>
      </c>
      <c r="K129">
        <v>5</v>
      </c>
      <c r="L129">
        <v>0.97299999999999998</v>
      </c>
      <c r="M129">
        <v>0.44</v>
      </c>
      <c r="N129">
        <v>1</v>
      </c>
      <c r="O129">
        <v>0.97299999999999998</v>
      </c>
      <c r="P129">
        <v>0.44</v>
      </c>
      <c r="Q129">
        <v>1</v>
      </c>
      <c r="R129">
        <v>0.4</v>
      </c>
      <c r="S129">
        <v>0.4</v>
      </c>
      <c r="T129">
        <v>0</v>
      </c>
      <c r="V129">
        <v>2</v>
      </c>
      <c r="W129">
        <v>4</v>
      </c>
      <c r="X129">
        <v>0.98699999999999999</v>
      </c>
      <c r="Y129">
        <v>0.96</v>
      </c>
      <c r="Z129">
        <v>1</v>
      </c>
      <c r="AA129">
        <v>0.98699999999999999</v>
      </c>
      <c r="AB129">
        <v>0.96</v>
      </c>
      <c r="AC129">
        <v>1</v>
      </c>
      <c r="AD129">
        <v>0.95</v>
      </c>
      <c r="AE129">
        <v>0.95</v>
      </c>
      <c r="AF129">
        <v>1</v>
      </c>
      <c r="AT129">
        <v>2</v>
      </c>
      <c r="AU129">
        <v>4</v>
      </c>
      <c r="AV129">
        <v>0.98699999999999999</v>
      </c>
      <c r="AW129">
        <v>0.96</v>
      </c>
      <c r="AX129">
        <v>1</v>
      </c>
      <c r="AY129">
        <v>0.98699999999999999</v>
      </c>
      <c r="AZ129">
        <v>0.96</v>
      </c>
      <c r="BA129">
        <v>1</v>
      </c>
      <c r="BB129">
        <v>0.95</v>
      </c>
      <c r="BC129">
        <v>0.95</v>
      </c>
      <c r="BD129">
        <v>1</v>
      </c>
    </row>
    <row r="130" spans="1:56" x14ac:dyDescent="0.2">
      <c r="A130">
        <v>3</v>
      </c>
      <c r="B130">
        <v>5</v>
      </c>
      <c r="C130">
        <v>0.97299999999999998</v>
      </c>
      <c r="D130">
        <v>0.44</v>
      </c>
      <c r="E130">
        <v>0.97299999999999998</v>
      </c>
      <c r="F130">
        <v>0.44</v>
      </c>
      <c r="G130">
        <v>0.27</v>
      </c>
      <c r="H130">
        <v>0.23</v>
      </c>
      <c r="J130">
        <v>3</v>
      </c>
      <c r="K130">
        <v>4</v>
      </c>
      <c r="L130">
        <v>0.98699999999999999</v>
      </c>
      <c r="M130">
        <v>0.96</v>
      </c>
      <c r="N130">
        <v>1</v>
      </c>
      <c r="O130">
        <v>0.98699999999999999</v>
      </c>
      <c r="P130">
        <v>0.96</v>
      </c>
      <c r="Q130">
        <v>1</v>
      </c>
      <c r="R130">
        <v>0.95</v>
      </c>
      <c r="S130">
        <v>0.95</v>
      </c>
      <c r="T130">
        <v>1</v>
      </c>
    </row>
    <row r="131" spans="1:56" x14ac:dyDescent="0.2">
      <c r="A131">
        <v>4</v>
      </c>
      <c r="B131">
        <v>4</v>
      </c>
      <c r="C131">
        <v>0.98699999999999999</v>
      </c>
      <c r="D131">
        <v>0.96</v>
      </c>
      <c r="E131">
        <v>0.98699999999999999</v>
      </c>
      <c r="F131">
        <v>0.96</v>
      </c>
      <c r="G131">
        <v>0.95</v>
      </c>
      <c r="H131">
        <v>0.95</v>
      </c>
    </row>
    <row r="136" spans="1:56" x14ac:dyDescent="0.2">
      <c r="A136">
        <f>COUNT(A138:A142)</f>
        <v>4</v>
      </c>
      <c r="B136">
        <f>COUNTIF(B138:B142,"&gt;4")</f>
        <v>1</v>
      </c>
      <c r="D136" t="s">
        <v>0</v>
      </c>
      <c r="E136" t="s">
        <v>1</v>
      </c>
      <c r="F136" t="s">
        <v>0</v>
      </c>
      <c r="G136" t="s">
        <v>2</v>
      </c>
      <c r="H136" t="s">
        <v>0</v>
      </c>
      <c r="I136" t="s">
        <v>0</v>
      </c>
      <c r="J136">
        <f>COUNT(J138:J142)</f>
        <v>3</v>
      </c>
      <c r="K136">
        <f>COUNTIF(K138:K142,"&gt;4")</f>
        <v>0</v>
      </c>
      <c r="M136">
        <f>COUNTIF(M138:M142,1)</f>
        <v>1</v>
      </c>
      <c r="N136">
        <f>COUNTIF(N138:N142,1)</f>
        <v>2</v>
      </c>
      <c r="O136">
        <f>COUNTIF(O138:O142,"&gt;0")</f>
        <v>3</v>
      </c>
      <c r="P136">
        <f>COUNTIF(P138:P142,1)</f>
        <v>1</v>
      </c>
      <c r="Q136">
        <f>COUNTIF(Q138:Q142,1)</f>
        <v>2</v>
      </c>
      <c r="S136">
        <f>COUNTIF(S138:S142,1)</f>
        <v>1</v>
      </c>
      <c r="T136">
        <f>COUNTIFS(T138:T142,1,K138:K142,"&gt;4")</f>
        <v>0</v>
      </c>
      <c r="U136" t="s">
        <v>0</v>
      </c>
      <c r="V136">
        <f>COUNT(V138:V142)</f>
        <v>3</v>
      </c>
      <c r="W136">
        <f>COUNTIF(W138:W142,"&gt;4")</f>
        <v>0</v>
      </c>
      <c r="Y136">
        <f>COUNTIF(Y138:Y142,1)</f>
        <v>1</v>
      </c>
      <c r="Z136">
        <f>COUNTIF(Z138:Z142,1)</f>
        <v>2</v>
      </c>
      <c r="AA136">
        <f>COUNTIF(AA138:AA142,"&gt;0")</f>
        <v>3</v>
      </c>
      <c r="AB136">
        <f>COUNTIF(AB138:AB142,1)</f>
        <v>1</v>
      </c>
      <c r="AC136">
        <f>COUNTIF(AC138:AC142,1)</f>
        <v>2</v>
      </c>
      <c r="AE136">
        <f>COUNTIF(AE138:AE142,1)</f>
        <v>1</v>
      </c>
      <c r="AF136">
        <f>COUNTIFS(AF138:AF142,1,W138:W142,"&gt;4")</f>
        <v>0</v>
      </c>
      <c r="AG136" t="s">
        <v>0</v>
      </c>
      <c r="AH136">
        <f>COUNT(AH138:AH142)</f>
        <v>2</v>
      </c>
      <c r="AI136">
        <f>COUNTIF(AI138:AI142,"&gt;4")</f>
        <v>0</v>
      </c>
      <c r="AK136">
        <f>COUNTIF(AK138:AK142,1)</f>
        <v>1</v>
      </c>
      <c r="AL136">
        <f>COUNTIF(AL138:AL142,1)</f>
        <v>1</v>
      </c>
      <c r="AM136">
        <f>COUNTIF(AM138:AM142,"&gt;0")</f>
        <v>2</v>
      </c>
      <c r="AN136">
        <f>COUNTIF(AN138:AN142,1)</f>
        <v>1</v>
      </c>
      <c r="AO136">
        <f>COUNTIF(AO138:AO142,1)</f>
        <v>1</v>
      </c>
      <c r="AQ136">
        <f>COUNTIF(AQ138:AQ142,1)</f>
        <v>1</v>
      </c>
      <c r="AR136">
        <f>COUNTIFS(AR138:AR142,1,AI138:AI142,"&gt;4")</f>
        <v>0</v>
      </c>
      <c r="AS136" t="s">
        <v>0</v>
      </c>
      <c r="AT136">
        <f>COUNT(AT138:AT142)</f>
        <v>2</v>
      </c>
      <c r="AU136">
        <f>COUNTIF(AU138:AU142,"&gt;4")</f>
        <v>0</v>
      </c>
      <c r="AW136">
        <f>COUNTIF(AW138:AW142,1)</f>
        <v>1</v>
      </c>
      <c r="AX136">
        <f>COUNTIF(AX138:AX142,1)</f>
        <v>1</v>
      </c>
      <c r="AY136">
        <f>COUNTIF(AY138:AY142,"&gt;0")</f>
        <v>2</v>
      </c>
      <c r="AZ136">
        <f>COUNTIF(AZ138:AZ142,1)</f>
        <v>1</v>
      </c>
      <c r="BA136">
        <f>COUNTIF(BA138:BA142,1)</f>
        <v>1</v>
      </c>
      <c r="BC136">
        <f>COUNTIF(BC138:BC142,1)</f>
        <v>1</v>
      </c>
      <c r="BD136">
        <f>COUNTIFS(BD138:BD142,1,AU138:AU142,"&gt;4")</f>
        <v>0</v>
      </c>
    </row>
    <row r="137" spans="1:56" x14ac:dyDescent="0.2">
      <c r="A137" t="s">
        <v>3</v>
      </c>
      <c r="B137" t="s">
        <v>4</v>
      </c>
      <c r="C137" t="s">
        <v>5</v>
      </c>
      <c r="D137" t="s">
        <v>6</v>
      </c>
      <c r="E137" t="s">
        <v>5</v>
      </c>
      <c r="F137" t="s">
        <v>6</v>
      </c>
      <c r="G137" t="s">
        <v>5</v>
      </c>
      <c r="H137" t="s">
        <v>6</v>
      </c>
      <c r="I137" t="s">
        <v>0</v>
      </c>
      <c r="J137" t="s">
        <v>3</v>
      </c>
      <c r="K137" t="s">
        <v>4</v>
      </c>
      <c r="L137" t="s">
        <v>5</v>
      </c>
      <c r="M137" t="s">
        <v>6</v>
      </c>
      <c r="N137" t="s">
        <v>7</v>
      </c>
      <c r="O137" t="s">
        <v>5</v>
      </c>
      <c r="P137" t="s">
        <v>6</v>
      </c>
      <c r="Q137" t="s">
        <v>8</v>
      </c>
      <c r="R137" t="s">
        <v>5</v>
      </c>
      <c r="S137" t="s">
        <v>6</v>
      </c>
      <c r="T137" t="s">
        <v>7</v>
      </c>
      <c r="U137" t="s">
        <v>0</v>
      </c>
      <c r="V137" t="s">
        <v>3</v>
      </c>
      <c r="W137" t="s">
        <v>4</v>
      </c>
      <c r="X137" t="s">
        <v>5</v>
      </c>
      <c r="Y137" t="s">
        <v>6</v>
      </c>
      <c r="Z137" t="s">
        <v>7</v>
      </c>
      <c r="AA137" t="s">
        <v>5</v>
      </c>
      <c r="AB137" t="s">
        <v>6</v>
      </c>
      <c r="AC137" t="s">
        <v>7</v>
      </c>
      <c r="AD137" t="s">
        <v>5</v>
      </c>
      <c r="AE137" t="s">
        <v>6</v>
      </c>
      <c r="AF137" t="s">
        <v>7</v>
      </c>
      <c r="AG137" t="s">
        <v>0</v>
      </c>
      <c r="AH137" t="s">
        <v>3</v>
      </c>
      <c r="AI137" t="s">
        <v>4</v>
      </c>
      <c r="AJ137" t="s">
        <v>5</v>
      </c>
      <c r="AK137" t="s">
        <v>6</v>
      </c>
      <c r="AL137" t="s">
        <v>7</v>
      </c>
      <c r="AM137" t="s">
        <v>5</v>
      </c>
      <c r="AN137" t="s">
        <v>6</v>
      </c>
      <c r="AO137" t="s">
        <v>7</v>
      </c>
      <c r="AP137" t="s">
        <v>5</v>
      </c>
      <c r="AQ137" t="s">
        <v>6</v>
      </c>
      <c r="AR137" t="s">
        <v>7</v>
      </c>
      <c r="AS137" t="s">
        <v>0</v>
      </c>
      <c r="AT137" t="s">
        <v>3</v>
      </c>
      <c r="AU137" t="s">
        <v>4</v>
      </c>
      <c r="AV137" t="s">
        <v>5</v>
      </c>
      <c r="AW137" t="s">
        <v>6</v>
      </c>
      <c r="AX137" t="s">
        <v>7</v>
      </c>
      <c r="AY137" t="s">
        <v>5</v>
      </c>
      <c r="AZ137" t="s">
        <v>6</v>
      </c>
      <c r="BA137" t="s">
        <v>7</v>
      </c>
      <c r="BB137" t="s">
        <v>5</v>
      </c>
      <c r="BC137" t="s">
        <v>6</v>
      </c>
      <c r="BD137" t="s">
        <v>7</v>
      </c>
    </row>
    <row r="138" spans="1:56" x14ac:dyDescent="0.2">
      <c r="A138">
        <v>1</v>
      </c>
      <c r="B138">
        <v>7</v>
      </c>
      <c r="C138">
        <v>0.85299999999999998</v>
      </c>
      <c r="D138">
        <v>0</v>
      </c>
      <c r="E138">
        <v>0.85299999999999998</v>
      </c>
      <c r="F138">
        <v>0</v>
      </c>
      <c r="G138">
        <v>0.97</v>
      </c>
      <c r="H138">
        <v>0.97</v>
      </c>
      <c r="J138">
        <v>1</v>
      </c>
      <c r="K138">
        <v>4</v>
      </c>
      <c r="L138">
        <v>0.99199999999999999</v>
      </c>
      <c r="M138">
        <v>0.91</v>
      </c>
      <c r="N138">
        <v>0.85699999999999998</v>
      </c>
      <c r="O138">
        <v>0.99199999999999999</v>
      </c>
      <c r="P138">
        <v>0.91</v>
      </c>
      <c r="Q138">
        <v>0.85699999999999998</v>
      </c>
      <c r="R138">
        <v>0.97</v>
      </c>
      <c r="S138">
        <v>0.97</v>
      </c>
      <c r="T138">
        <v>1</v>
      </c>
      <c r="V138">
        <v>1</v>
      </c>
      <c r="W138">
        <v>4</v>
      </c>
      <c r="X138">
        <v>0.99199999999999999</v>
      </c>
      <c r="Y138">
        <v>0.91</v>
      </c>
      <c r="Z138">
        <v>0.85699999999999998</v>
      </c>
      <c r="AA138">
        <v>0.99199999999999999</v>
      </c>
      <c r="AB138">
        <v>0.91</v>
      </c>
      <c r="AC138">
        <v>0.85699999999999998</v>
      </c>
      <c r="AD138">
        <v>0.97</v>
      </c>
      <c r="AE138">
        <v>0.97</v>
      </c>
      <c r="AF138">
        <v>1</v>
      </c>
      <c r="AH138">
        <v>1</v>
      </c>
      <c r="AI138">
        <v>4</v>
      </c>
      <c r="AJ138">
        <v>0.99199999999999999</v>
      </c>
      <c r="AK138">
        <v>0.91</v>
      </c>
      <c r="AL138">
        <v>0.85699999999999998</v>
      </c>
      <c r="AM138">
        <v>0.99199999999999999</v>
      </c>
      <c r="AN138">
        <v>0.91</v>
      </c>
      <c r="AO138">
        <v>0.85699999999999998</v>
      </c>
      <c r="AP138">
        <v>0.97</v>
      </c>
      <c r="AQ138">
        <v>0.97</v>
      </c>
      <c r="AR138">
        <v>1</v>
      </c>
      <c r="AT138">
        <v>1</v>
      </c>
      <c r="AU138">
        <v>4</v>
      </c>
      <c r="AV138">
        <v>0.99199999999999999</v>
      </c>
      <c r="AW138">
        <v>0.91</v>
      </c>
      <c r="AX138">
        <v>0.85699999999999998</v>
      </c>
      <c r="AY138">
        <v>0.99199999999999999</v>
      </c>
      <c r="AZ138">
        <v>0.91</v>
      </c>
      <c r="BA138">
        <v>0.85699999999999998</v>
      </c>
      <c r="BB138">
        <v>0.97</v>
      </c>
      <c r="BC138">
        <v>0.97</v>
      </c>
      <c r="BD138">
        <v>1</v>
      </c>
    </row>
    <row r="139" spans="1:56" x14ac:dyDescent="0.2">
      <c r="A139">
        <v>2</v>
      </c>
      <c r="B139">
        <v>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2</v>
      </c>
      <c r="K139">
        <v>4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V139">
        <v>2</v>
      </c>
      <c r="W139">
        <v>4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H139">
        <v>2</v>
      </c>
      <c r="AI139">
        <v>4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T139">
        <v>2</v>
      </c>
      <c r="AU139">
        <v>4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</row>
    <row r="140" spans="1:56" x14ac:dyDescent="0.2">
      <c r="A140">
        <v>3</v>
      </c>
      <c r="B140">
        <v>4</v>
      </c>
      <c r="C140">
        <v>0.877</v>
      </c>
      <c r="D140">
        <v>0.72</v>
      </c>
      <c r="E140">
        <v>0.877</v>
      </c>
      <c r="F140">
        <v>0.72</v>
      </c>
      <c r="G140">
        <v>0.15</v>
      </c>
      <c r="H140">
        <v>0.15</v>
      </c>
      <c r="J140">
        <v>3</v>
      </c>
      <c r="K140">
        <v>4</v>
      </c>
      <c r="L140">
        <v>0.877</v>
      </c>
      <c r="M140">
        <v>0.72</v>
      </c>
      <c r="N140">
        <v>1</v>
      </c>
      <c r="O140">
        <v>0.877</v>
      </c>
      <c r="P140">
        <v>0.72</v>
      </c>
      <c r="Q140">
        <v>1</v>
      </c>
      <c r="R140">
        <v>0.25</v>
      </c>
      <c r="S140">
        <v>0.25</v>
      </c>
      <c r="T140">
        <v>0.33300000000000002</v>
      </c>
      <c r="V140">
        <v>3</v>
      </c>
      <c r="W140">
        <v>4</v>
      </c>
      <c r="X140">
        <v>0.877</v>
      </c>
      <c r="Y140">
        <v>0.72</v>
      </c>
      <c r="Z140">
        <v>1</v>
      </c>
      <c r="AA140">
        <v>0.877</v>
      </c>
      <c r="AB140">
        <v>0.72</v>
      </c>
      <c r="AC140">
        <v>1</v>
      </c>
      <c r="AD140">
        <v>0.34</v>
      </c>
      <c r="AE140">
        <v>0.34</v>
      </c>
      <c r="AF140">
        <v>0.33300000000000002</v>
      </c>
    </row>
    <row r="141" spans="1:56" x14ac:dyDescent="0.2">
      <c r="A141">
        <v>4</v>
      </c>
      <c r="B141">
        <v>4</v>
      </c>
      <c r="C141">
        <v>0.73699999999999999</v>
      </c>
      <c r="D141">
        <v>0.25</v>
      </c>
      <c r="E141">
        <v>0.73699999999999999</v>
      </c>
      <c r="F141">
        <v>0.25</v>
      </c>
      <c r="G141">
        <v>0.28199999999999997</v>
      </c>
      <c r="H141">
        <v>0</v>
      </c>
    </row>
    <row r="146" spans="1:56" x14ac:dyDescent="0.2">
      <c r="A146">
        <f>COUNT(A148:A152)</f>
        <v>2</v>
      </c>
      <c r="B146">
        <f>COUNTIF(B148:B152,"&gt;4")</f>
        <v>2</v>
      </c>
      <c r="D146" t="s">
        <v>0</v>
      </c>
      <c r="E146" t="s">
        <v>1</v>
      </c>
      <c r="F146" t="s">
        <v>0</v>
      </c>
      <c r="G146" t="s">
        <v>2</v>
      </c>
      <c r="H146" t="s">
        <v>0</v>
      </c>
      <c r="I146" t="s">
        <v>0</v>
      </c>
      <c r="J146">
        <f>COUNT(J148:J152)</f>
        <v>2</v>
      </c>
      <c r="K146">
        <f>COUNTIF(K148:K152,"&gt;4")</f>
        <v>2</v>
      </c>
      <c r="M146">
        <f>COUNTIF(M148:M152,1)</f>
        <v>0</v>
      </c>
      <c r="N146">
        <f>COUNTIF(N148:N152,1)</f>
        <v>0</v>
      </c>
      <c r="O146">
        <f>COUNTIF(O148:O152,"&gt;0")</f>
        <v>2</v>
      </c>
      <c r="P146">
        <f>COUNTIF(P148:P152,1)</f>
        <v>0</v>
      </c>
      <c r="Q146">
        <f>COUNTIF(Q148:Q152,1)</f>
        <v>0</v>
      </c>
      <c r="S146">
        <f>COUNTIF(S148:S152,1)</f>
        <v>1</v>
      </c>
      <c r="T146">
        <f>COUNTIFS(T148:T152,1,K148:K152,"&gt;4")</f>
        <v>2</v>
      </c>
      <c r="U146" t="s">
        <v>0</v>
      </c>
      <c r="V146">
        <f>COUNT(V148:V152)</f>
        <v>3</v>
      </c>
      <c r="W146">
        <f>COUNTIF(W148:W152,"&gt;4")</f>
        <v>2</v>
      </c>
      <c r="Y146">
        <f>COUNTIF(Y148:Y152,1)</f>
        <v>0</v>
      </c>
      <c r="Z146">
        <f>COUNTIF(Z148:Z152,1)</f>
        <v>0</v>
      </c>
      <c r="AA146">
        <f>COUNTIF(AA148:AA152,"&gt;0")</f>
        <v>3</v>
      </c>
      <c r="AB146">
        <f>COUNTIF(AB148:AB152,1)</f>
        <v>0</v>
      </c>
      <c r="AC146">
        <f>COUNTIF(AC148:AC152,1)</f>
        <v>0</v>
      </c>
      <c r="AE146">
        <f>COUNTIF(AE148:AE152,1)</f>
        <v>1</v>
      </c>
      <c r="AF146">
        <f>COUNTIFS(AF148:AF152,1,W148:W152,"&gt;4")</f>
        <v>2</v>
      </c>
      <c r="AG146" t="s">
        <v>0</v>
      </c>
      <c r="AH146">
        <f>COUNT(AH148:AH152)</f>
        <v>2</v>
      </c>
      <c r="AI146">
        <f>COUNTIF(AI148:AI152,"&gt;4")</f>
        <v>2</v>
      </c>
      <c r="AK146">
        <f>COUNTIF(AK148:AK152,1)</f>
        <v>0</v>
      </c>
      <c r="AL146">
        <f>COUNTIF(AL148:AL152,1)</f>
        <v>0</v>
      </c>
      <c r="AM146">
        <f>COUNTIF(AM148:AM152,"&gt;0")</f>
        <v>2</v>
      </c>
      <c r="AN146">
        <f>COUNTIF(AN148:AN152,1)</f>
        <v>0</v>
      </c>
      <c r="AO146">
        <f>COUNTIF(AO148:AO152,1)</f>
        <v>0</v>
      </c>
      <c r="AQ146">
        <f>COUNTIF(AQ148:AQ152,1)</f>
        <v>1</v>
      </c>
      <c r="AR146">
        <f>COUNTIFS(AR148:AR152,1,AI148:AI152,"&gt;4")</f>
        <v>2</v>
      </c>
      <c r="AS146" t="s">
        <v>0</v>
      </c>
      <c r="AT146">
        <f>COUNT(AT148:AT152)</f>
        <v>2</v>
      </c>
      <c r="AU146">
        <f>COUNTIF(AU148:AU152,"&gt;4")</f>
        <v>2</v>
      </c>
      <c r="AW146">
        <f>COUNTIF(AW148:AW152,1)</f>
        <v>0</v>
      </c>
      <c r="AX146">
        <f>COUNTIF(AX148:AX152,1)</f>
        <v>0</v>
      </c>
      <c r="AY146">
        <f>COUNTIF(AY148:AY152,"&gt;0")</f>
        <v>2</v>
      </c>
      <c r="AZ146">
        <f>COUNTIF(AZ148:AZ152,1)</f>
        <v>0</v>
      </c>
      <c r="BA146">
        <f>COUNTIF(BA148:BA152,1)</f>
        <v>0</v>
      </c>
      <c r="BC146">
        <f>COUNTIF(BC148:BC152,1)</f>
        <v>1</v>
      </c>
      <c r="BD146">
        <f>COUNTIFS(BD148:BD152,1,AU148:AU152,"&gt;4")</f>
        <v>2</v>
      </c>
    </row>
    <row r="147" spans="1:56" x14ac:dyDescent="0.2">
      <c r="A147" t="s">
        <v>3</v>
      </c>
      <c r="B147" t="s">
        <v>4</v>
      </c>
      <c r="C147" t="s">
        <v>5</v>
      </c>
      <c r="D147" t="s">
        <v>6</v>
      </c>
      <c r="E147" t="s">
        <v>5</v>
      </c>
      <c r="F147" t="s">
        <v>6</v>
      </c>
      <c r="G147" t="s">
        <v>5</v>
      </c>
      <c r="H147" t="s">
        <v>6</v>
      </c>
      <c r="I147" t="s">
        <v>0</v>
      </c>
      <c r="J147" t="s">
        <v>3</v>
      </c>
      <c r="K147" t="s">
        <v>4</v>
      </c>
      <c r="L147" t="s">
        <v>5</v>
      </c>
      <c r="M147" t="s">
        <v>6</v>
      </c>
      <c r="N147" t="s">
        <v>7</v>
      </c>
      <c r="O147" t="s">
        <v>5</v>
      </c>
      <c r="P147" t="s">
        <v>6</v>
      </c>
      <c r="Q147" t="s">
        <v>8</v>
      </c>
      <c r="R147" t="s">
        <v>5</v>
      </c>
      <c r="S147" t="s">
        <v>6</v>
      </c>
      <c r="T147" t="s">
        <v>7</v>
      </c>
      <c r="U147" t="s">
        <v>0</v>
      </c>
      <c r="V147" t="s">
        <v>3</v>
      </c>
      <c r="W147" t="s">
        <v>4</v>
      </c>
      <c r="X147" t="s">
        <v>5</v>
      </c>
      <c r="Y147" t="s">
        <v>6</v>
      </c>
      <c r="Z147" t="s">
        <v>7</v>
      </c>
      <c r="AA147" t="s">
        <v>5</v>
      </c>
      <c r="AB147" t="s">
        <v>6</v>
      </c>
      <c r="AC147" t="s">
        <v>7</v>
      </c>
      <c r="AD147" t="s">
        <v>5</v>
      </c>
      <c r="AE147" t="s">
        <v>6</v>
      </c>
      <c r="AF147" t="s">
        <v>7</v>
      </c>
      <c r="AG147" t="s">
        <v>0</v>
      </c>
      <c r="AH147" t="s">
        <v>3</v>
      </c>
      <c r="AI147" t="s">
        <v>4</v>
      </c>
      <c r="AJ147" t="s">
        <v>5</v>
      </c>
      <c r="AK147" t="s">
        <v>6</v>
      </c>
      <c r="AL147" t="s">
        <v>7</v>
      </c>
      <c r="AM147" t="s">
        <v>5</v>
      </c>
      <c r="AN147" t="s">
        <v>6</v>
      </c>
      <c r="AO147" t="s">
        <v>7</v>
      </c>
      <c r="AP147" t="s">
        <v>5</v>
      </c>
      <c r="AQ147" t="s">
        <v>6</v>
      </c>
      <c r="AR147" t="s">
        <v>7</v>
      </c>
      <c r="AS147" t="s">
        <v>0</v>
      </c>
      <c r="AT147" t="s">
        <v>3</v>
      </c>
      <c r="AU147" t="s">
        <v>4</v>
      </c>
      <c r="AV147" t="s">
        <v>5</v>
      </c>
      <c r="AW147" t="s">
        <v>6</v>
      </c>
      <c r="AX147" t="s">
        <v>7</v>
      </c>
      <c r="AY147" t="s">
        <v>5</v>
      </c>
      <c r="AZ147" t="s">
        <v>6</v>
      </c>
      <c r="BA147" t="s">
        <v>7</v>
      </c>
      <c r="BB147" t="s">
        <v>5</v>
      </c>
      <c r="BC147" t="s">
        <v>6</v>
      </c>
      <c r="BD147" t="s">
        <v>7</v>
      </c>
    </row>
    <row r="148" spans="1:56" x14ac:dyDescent="0.2">
      <c r="A148">
        <v>1</v>
      </c>
      <c r="B148">
        <v>7</v>
      </c>
      <c r="C148">
        <v>0.93</v>
      </c>
      <c r="D148">
        <v>0.19</v>
      </c>
      <c r="E148">
        <v>0.93</v>
      </c>
      <c r="F148">
        <v>0.19</v>
      </c>
      <c r="G148">
        <v>0.99</v>
      </c>
      <c r="H148">
        <v>0.99</v>
      </c>
      <c r="J148">
        <v>1</v>
      </c>
      <c r="K148">
        <v>5</v>
      </c>
      <c r="L148">
        <v>0.97499999999999998</v>
      </c>
      <c r="M148">
        <v>0.66</v>
      </c>
      <c r="N148">
        <v>0.90500000000000003</v>
      </c>
      <c r="O148">
        <v>0.97499999999999998</v>
      </c>
      <c r="P148">
        <v>0.66</v>
      </c>
      <c r="Q148">
        <v>0.90500000000000003</v>
      </c>
      <c r="R148">
        <v>0.99</v>
      </c>
      <c r="S148">
        <v>0.99</v>
      </c>
      <c r="T148">
        <v>1</v>
      </c>
      <c r="V148">
        <v>1</v>
      </c>
      <c r="W148">
        <v>5</v>
      </c>
      <c r="X148">
        <v>0.97499999999999998</v>
      </c>
      <c r="Y148">
        <v>0.66</v>
      </c>
      <c r="Z148">
        <v>0.90500000000000003</v>
      </c>
      <c r="AA148">
        <v>0.97499999999999998</v>
      </c>
      <c r="AB148">
        <v>0.66</v>
      </c>
      <c r="AC148">
        <v>0.90500000000000003</v>
      </c>
      <c r="AD148">
        <v>0.99</v>
      </c>
      <c r="AE148">
        <v>0.99</v>
      </c>
      <c r="AF148">
        <v>1</v>
      </c>
      <c r="AH148">
        <v>1</v>
      </c>
      <c r="AI148">
        <v>5</v>
      </c>
      <c r="AJ148">
        <v>0.97499999999999998</v>
      </c>
      <c r="AK148">
        <v>0.66</v>
      </c>
      <c r="AL148">
        <v>0.90500000000000003</v>
      </c>
      <c r="AM148">
        <v>0.97499999999999998</v>
      </c>
      <c r="AN148">
        <v>0.66</v>
      </c>
      <c r="AO148">
        <v>0.90500000000000003</v>
      </c>
      <c r="AP148">
        <v>0.99</v>
      </c>
      <c r="AQ148">
        <v>0.99</v>
      </c>
      <c r="AR148">
        <v>1</v>
      </c>
      <c r="AT148">
        <v>1</v>
      </c>
      <c r="AU148">
        <v>5</v>
      </c>
      <c r="AV148">
        <v>0.97499999999999998</v>
      </c>
      <c r="AW148">
        <v>0.66</v>
      </c>
      <c r="AX148">
        <v>0.90500000000000003</v>
      </c>
      <c r="AY148">
        <v>0.97499999999999998</v>
      </c>
      <c r="AZ148">
        <v>0.66</v>
      </c>
      <c r="BA148">
        <v>0.90500000000000003</v>
      </c>
      <c r="BB148">
        <v>0.99</v>
      </c>
      <c r="BC148">
        <v>0.99</v>
      </c>
      <c r="BD148">
        <v>1</v>
      </c>
    </row>
    <row r="149" spans="1:56" x14ac:dyDescent="0.2">
      <c r="A149">
        <v>2</v>
      </c>
      <c r="B149">
        <v>6</v>
      </c>
      <c r="C149">
        <v>0.97</v>
      </c>
      <c r="D149">
        <v>0.37</v>
      </c>
      <c r="E149">
        <v>0.96899999999999997</v>
      </c>
      <c r="F149">
        <v>0.35</v>
      </c>
      <c r="G149">
        <v>1</v>
      </c>
      <c r="H149">
        <v>1</v>
      </c>
      <c r="J149">
        <v>2</v>
      </c>
      <c r="K149">
        <v>5</v>
      </c>
      <c r="L149">
        <v>0.98199999999999998</v>
      </c>
      <c r="M149">
        <v>0.63</v>
      </c>
      <c r="N149">
        <v>0.95199999999999996</v>
      </c>
      <c r="O149">
        <v>0.98199999999999998</v>
      </c>
      <c r="P149">
        <v>0.63</v>
      </c>
      <c r="Q149">
        <v>0.95199999999999996</v>
      </c>
      <c r="R149">
        <v>1</v>
      </c>
      <c r="S149">
        <v>1</v>
      </c>
      <c r="T149">
        <v>1</v>
      </c>
      <c r="V149">
        <v>2</v>
      </c>
      <c r="W149">
        <v>5</v>
      </c>
      <c r="X149">
        <v>0.98199999999999998</v>
      </c>
      <c r="Y149">
        <v>0.63</v>
      </c>
      <c r="Z149">
        <v>0.95199999999999996</v>
      </c>
      <c r="AA149">
        <v>0.98199999999999998</v>
      </c>
      <c r="AB149">
        <v>0.63</v>
      </c>
      <c r="AC149">
        <v>0.95199999999999996</v>
      </c>
      <c r="AD149">
        <v>1</v>
      </c>
      <c r="AE149">
        <v>1</v>
      </c>
      <c r="AF149">
        <v>1</v>
      </c>
      <c r="AH149">
        <v>2</v>
      </c>
      <c r="AI149">
        <v>5</v>
      </c>
      <c r="AJ149">
        <v>0.98199999999999998</v>
      </c>
      <c r="AK149">
        <v>0.63</v>
      </c>
      <c r="AL149">
        <v>0.95199999999999996</v>
      </c>
      <c r="AM149">
        <v>0.98199999999999998</v>
      </c>
      <c r="AN149">
        <v>0.63</v>
      </c>
      <c r="AO149">
        <v>0.95199999999999996</v>
      </c>
      <c r="AP149">
        <v>1</v>
      </c>
      <c r="AQ149">
        <v>1</v>
      </c>
      <c r="AR149">
        <v>1</v>
      </c>
      <c r="AT149">
        <v>2</v>
      </c>
      <c r="AU149">
        <v>5</v>
      </c>
      <c r="AV149">
        <v>0.98199999999999998</v>
      </c>
      <c r="AW149">
        <v>0.63</v>
      </c>
      <c r="AX149">
        <v>0.95199999999999996</v>
      </c>
      <c r="AY149">
        <v>0.98199999999999998</v>
      </c>
      <c r="AZ149">
        <v>0.63</v>
      </c>
      <c r="BA149">
        <v>0.95199999999999996</v>
      </c>
      <c r="BB149">
        <v>1</v>
      </c>
      <c r="BC149">
        <v>1</v>
      </c>
      <c r="BD149">
        <v>1</v>
      </c>
    </row>
    <row r="150" spans="1:56" x14ac:dyDescent="0.2">
      <c r="V150">
        <v>3</v>
      </c>
      <c r="W150">
        <v>4</v>
      </c>
      <c r="X150">
        <v>0.85399999999999998</v>
      </c>
      <c r="Y150">
        <v>0.4</v>
      </c>
      <c r="Z150">
        <v>0.81</v>
      </c>
      <c r="AA150">
        <v>0.85299999999999998</v>
      </c>
      <c r="AB150">
        <v>0.38</v>
      </c>
      <c r="AC150">
        <v>0.81</v>
      </c>
      <c r="AD150">
        <v>0.38100000000000001</v>
      </c>
      <c r="AE150">
        <v>0.38</v>
      </c>
      <c r="AF150">
        <v>0.111</v>
      </c>
    </row>
    <row r="155" spans="1:56" x14ac:dyDescent="0.2">
      <c r="A155">
        <f>COUNT(A157:A161)</f>
        <v>2</v>
      </c>
      <c r="B155">
        <f>COUNTIF(B157:B161,"&gt;4")</f>
        <v>2</v>
      </c>
      <c r="D155" t="s">
        <v>0</v>
      </c>
      <c r="E155" t="s">
        <v>1</v>
      </c>
      <c r="F155" t="s">
        <v>0</v>
      </c>
      <c r="G155" t="s">
        <v>2</v>
      </c>
      <c r="H155" t="s">
        <v>0</v>
      </c>
      <c r="I155" t="s">
        <v>0</v>
      </c>
      <c r="J155">
        <f>COUNT(J157:J161)</f>
        <v>3</v>
      </c>
      <c r="K155">
        <f>COUNTIF(K157:K161,"&gt;4")</f>
        <v>2</v>
      </c>
      <c r="M155">
        <f>COUNTIF(M157:M161,1)</f>
        <v>1</v>
      </c>
      <c r="N155">
        <f>COUNTIF(N157:N161,1)</f>
        <v>2</v>
      </c>
      <c r="O155">
        <f>COUNTIF(O157:O161,"&gt;0")</f>
        <v>3</v>
      </c>
      <c r="P155">
        <f>COUNTIF(P157:P161,1)</f>
        <v>1</v>
      </c>
      <c r="Q155">
        <f>COUNTIF(Q157:Q161,1)</f>
        <v>2</v>
      </c>
      <c r="S155">
        <f>COUNTIF(S157:S161,1)</f>
        <v>2</v>
      </c>
      <c r="T155">
        <f>COUNTIFS(T157:T161,1,K157:K161,"&gt;4")</f>
        <v>2</v>
      </c>
      <c r="U155" t="s">
        <v>0</v>
      </c>
      <c r="V155">
        <f>COUNT(V157:V161)</f>
        <v>3</v>
      </c>
      <c r="W155">
        <f>COUNTIF(W157:W161,"&gt;4")</f>
        <v>2</v>
      </c>
      <c r="Y155">
        <f>COUNTIF(Y157:Y161,1)</f>
        <v>1</v>
      </c>
      <c r="Z155">
        <f>COUNTIF(Z157:Z161,1)</f>
        <v>2</v>
      </c>
      <c r="AA155">
        <f>COUNTIF(AA157:AA161,"&gt;0")</f>
        <v>3</v>
      </c>
      <c r="AB155">
        <f>COUNTIF(AB157:AB161,1)</f>
        <v>1</v>
      </c>
      <c r="AC155">
        <f>COUNTIF(AC157:AC161,1)</f>
        <v>2</v>
      </c>
      <c r="AE155">
        <f>COUNTIF(AE157:AE161,1)</f>
        <v>2</v>
      </c>
      <c r="AF155">
        <f>COUNTIFS(AF157:AF161,1,W157:W161,"&gt;4")</f>
        <v>2</v>
      </c>
      <c r="AG155" t="s">
        <v>0</v>
      </c>
      <c r="AH155">
        <f>COUNT(AH157:AH161)</f>
        <v>3</v>
      </c>
      <c r="AI155">
        <f>COUNTIF(AI157:AI161,"&gt;4")</f>
        <v>2</v>
      </c>
      <c r="AK155">
        <f>COUNTIF(AK157:AK161,1)</f>
        <v>1</v>
      </c>
      <c r="AL155">
        <f>COUNTIF(AL157:AL161,1)</f>
        <v>2</v>
      </c>
      <c r="AM155">
        <f>COUNTIF(AM157:AM161,"&gt;0")</f>
        <v>3</v>
      </c>
      <c r="AN155">
        <f>COUNTIF(AN157:AN161,1)</f>
        <v>1</v>
      </c>
      <c r="AO155">
        <f>COUNTIF(AO157:AO161,1)</f>
        <v>2</v>
      </c>
      <c r="AQ155">
        <f>COUNTIF(AQ157:AQ161,1)</f>
        <v>2</v>
      </c>
      <c r="AR155">
        <f>COUNTIFS(AR157:AR161,1,AI157:AI161,"&gt;4")</f>
        <v>2</v>
      </c>
      <c r="AS155" t="s">
        <v>0</v>
      </c>
      <c r="AT155">
        <f>COUNT(AT157:AT161)</f>
        <v>2</v>
      </c>
      <c r="AU155">
        <f>COUNTIF(AU157:AU161,"&gt;4")</f>
        <v>2</v>
      </c>
      <c r="AW155">
        <f>COUNTIF(AW157:AW161,1)</f>
        <v>1</v>
      </c>
      <c r="AX155">
        <f>COUNTIF(AX157:AX161,1)</f>
        <v>2</v>
      </c>
      <c r="AY155">
        <f>COUNTIF(AY157:AY161,"&gt;0")</f>
        <v>2</v>
      </c>
      <c r="AZ155">
        <f>COUNTIF(AZ157:AZ161,1)</f>
        <v>1</v>
      </c>
      <c r="BA155">
        <f>COUNTIF(BA157:BA161,1)</f>
        <v>2</v>
      </c>
      <c r="BC155">
        <f>COUNTIF(BC157:BC161,1)</f>
        <v>2</v>
      </c>
      <c r="BD155">
        <f>COUNTIFS(BD157:BD161,1,AU157:AU161,"&gt;4")</f>
        <v>2</v>
      </c>
    </row>
    <row r="156" spans="1:56" x14ac:dyDescent="0.2">
      <c r="A156" t="s">
        <v>3</v>
      </c>
      <c r="B156" t="s">
        <v>4</v>
      </c>
      <c r="C156" t="s">
        <v>5</v>
      </c>
      <c r="D156" t="s">
        <v>6</v>
      </c>
      <c r="E156" t="s">
        <v>5</v>
      </c>
      <c r="F156" t="s">
        <v>6</v>
      </c>
      <c r="G156" t="s">
        <v>5</v>
      </c>
      <c r="H156" t="s">
        <v>6</v>
      </c>
      <c r="I156" t="s">
        <v>0</v>
      </c>
      <c r="J156" t="s">
        <v>3</v>
      </c>
      <c r="K156" t="s">
        <v>4</v>
      </c>
      <c r="L156" t="s">
        <v>5</v>
      </c>
      <c r="M156" t="s">
        <v>6</v>
      </c>
      <c r="N156" t="s">
        <v>7</v>
      </c>
      <c r="O156" t="s">
        <v>5</v>
      </c>
      <c r="P156" t="s">
        <v>6</v>
      </c>
      <c r="Q156" t="s">
        <v>8</v>
      </c>
      <c r="R156" t="s">
        <v>5</v>
      </c>
      <c r="S156" t="s">
        <v>6</v>
      </c>
      <c r="T156" t="s">
        <v>7</v>
      </c>
      <c r="U156" t="s">
        <v>0</v>
      </c>
      <c r="V156" t="s">
        <v>3</v>
      </c>
      <c r="W156" t="s">
        <v>4</v>
      </c>
      <c r="X156" t="s">
        <v>5</v>
      </c>
      <c r="Y156" t="s">
        <v>6</v>
      </c>
      <c r="Z156" t="s">
        <v>7</v>
      </c>
      <c r="AA156" t="s">
        <v>5</v>
      </c>
      <c r="AB156" t="s">
        <v>6</v>
      </c>
      <c r="AC156" t="s">
        <v>7</v>
      </c>
      <c r="AD156" t="s">
        <v>5</v>
      </c>
      <c r="AE156" t="s">
        <v>6</v>
      </c>
      <c r="AF156" t="s">
        <v>7</v>
      </c>
      <c r="AG156" t="s">
        <v>0</v>
      </c>
      <c r="AH156" t="s">
        <v>3</v>
      </c>
      <c r="AI156" t="s">
        <v>4</v>
      </c>
      <c r="AJ156" t="s">
        <v>5</v>
      </c>
      <c r="AK156" t="s">
        <v>6</v>
      </c>
      <c r="AL156" t="s">
        <v>7</v>
      </c>
      <c r="AM156" t="s">
        <v>5</v>
      </c>
      <c r="AN156" t="s">
        <v>6</v>
      </c>
      <c r="AO156" t="s">
        <v>7</v>
      </c>
      <c r="AP156" t="s">
        <v>5</v>
      </c>
      <c r="AQ156" t="s">
        <v>6</v>
      </c>
      <c r="AR156" t="s">
        <v>7</v>
      </c>
      <c r="AS156" t="s">
        <v>0</v>
      </c>
      <c r="AT156" t="s">
        <v>3</v>
      </c>
      <c r="AU156" t="s">
        <v>4</v>
      </c>
      <c r="AV156" t="s">
        <v>5</v>
      </c>
      <c r="AW156" t="s">
        <v>6</v>
      </c>
      <c r="AX156" t="s">
        <v>7</v>
      </c>
      <c r="AY156" t="s">
        <v>5</v>
      </c>
      <c r="AZ156" t="s">
        <v>6</v>
      </c>
      <c r="BA156" t="s">
        <v>7</v>
      </c>
      <c r="BB156" t="s">
        <v>5</v>
      </c>
      <c r="BC156" t="s">
        <v>6</v>
      </c>
      <c r="BD156" t="s">
        <v>7</v>
      </c>
    </row>
    <row r="157" spans="1:56" x14ac:dyDescent="0.2">
      <c r="A157">
        <v>1</v>
      </c>
      <c r="B157">
        <v>6</v>
      </c>
      <c r="C157">
        <v>0.98799999999999999</v>
      </c>
      <c r="D157">
        <v>0.75</v>
      </c>
      <c r="E157">
        <v>0.98799999999999999</v>
      </c>
      <c r="F157">
        <v>0.75</v>
      </c>
      <c r="G157">
        <v>1</v>
      </c>
      <c r="H157">
        <v>1</v>
      </c>
      <c r="J157">
        <v>1</v>
      </c>
      <c r="K157">
        <v>6</v>
      </c>
      <c r="L157">
        <v>0.98799999999999999</v>
      </c>
      <c r="M157">
        <v>0.75</v>
      </c>
      <c r="N157">
        <v>1</v>
      </c>
      <c r="O157">
        <v>0.98799999999999999</v>
      </c>
      <c r="P157">
        <v>0.75</v>
      </c>
      <c r="Q157">
        <v>1</v>
      </c>
      <c r="R157">
        <v>1</v>
      </c>
      <c r="S157">
        <v>1</v>
      </c>
      <c r="T157">
        <v>1</v>
      </c>
      <c r="V157">
        <v>1</v>
      </c>
      <c r="W157">
        <v>6</v>
      </c>
      <c r="X157">
        <v>0.98799999999999999</v>
      </c>
      <c r="Y157">
        <v>0.75</v>
      </c>
      <c r="Z157">
        <v>1</v>
      </c>
      <c r="AA157">
        <v>0.98799999999999999</v>
      </c>
      <c r="AB157">
        <v>0.75</v>
      </c>
      <c r="AC157">
        <v>1</v>
      </c>
      <c r="AD157">
        <v>1</v>
      </c>
      <c r="AE157">
        <v>1</v>
      </c>
      <c r="AF157">
        <v>1</v>
      </c>
      <c r="AH157">
        <v>1</v>
      </c>
      <c r="AI157">
        <v>6</v>
      </c>
      <c r="AJ157">
        <v>0.98799999999999999</v>
      </c>
      <c r="AK157">
        <v>0.75</v>
      </c>
      <c r="AL157">
        <v>1</v>
      </c>
      <c r="AM157">
        <v>0.98799999999999999</v>
      </c>
      <c r="AN157">
        <v>0.75</v>
      </c>
      <c r="AO157">
        <v>1</v>
      </c>
      <c r="AP157">
        <v>1</v>
      </c>
      <c r="AQ157">
        <v>1</v>
      </c>
      <c r="AR157">
        <v>1</v>
      </c>
      <c r="AT157">
        <v>1</v>
      </c>
      <c r="AU157">
        <v>6</v>
      </c>
      <c r="AV157">
        <v>0.98799999999999999</v>
      </c>
      <c r="AW157">
        <v>0.75</v>
      </c>
      <c r="AX157">
        <v>1</v>
      </c>
      <c r="AY157">
        <v>0.98799999999999999</v>
      </c>
      <c r="AZ157">
        <v>0.75</v>
      </c>
      <c r="BA157">
        <v>1</v>
      </c>
      <c r="BB157">
        <v>1</v>
      </c>
      <c r="BC157">
        <v>1</v>
      </c>
      <c r="BD157">
        <v>1</v>
      </c>
    </row>
    <row r="158" spans="1:56" x14ac:dyDescent="0.2">
      <c r="A158">
        <v>2</v>
      </c>
      <c r="B158">
        <v>7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J158">
        <v>2</v>
      </c>
      <c r="K158">
        <v>7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V158">
        <v>2</v>
      </c>
      <c r="W158">
        <v>7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H158">
        <v>2</v>
      </c>
      <c r="AI158">
        <v>7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T158">
        <v>2</v>
      </c>
      <c r="AU158">
        <v>7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</row>
    <row r="159" spans="1:56" x14ac:dyDescent="0.2">
      <c r="J159">
        <v>3</v>
      </c>
      <c r="K159">
        <v>4</v>
      </c>
      <c r="L159">
        <v>0.93100000000000005</v>
      </c>
      <c r="M159">
        <v>0.76</v>
      </c>
      <c r="N159">
        <v>0.71399999999999997</v>
      </c>
      <c r="O159">
        <v>0.93100000000000005</v>
      </c>
      <c r="P159">
        <v>0.76</v>
      </c>
      <c r="Q159">
        <v>0.71399999999999997</v>
      </c>
      <c r="R159">
        <v>0.72</v>
      </c>
      <c r="S159">
        <v>0.72</v>
      </c>
      <c r="T159">
        <v>0</v>
      </c>
      <c r="V159">
        <v>3</v>
      </c>
      <c r="W159">
        <v>4</v>
      </c>
      <c r="X159">
        <v>0.93100000000000005</v>
      </c>
      <c r="Y159">
        <v>0.76</v>
      </c>
      <c r="Z159">
        <v>0.71399999999999997</v>
      </c>
      <c r="AA159">
        <v>0.93100000000000005</v>
      </c>
      <c r="AB159">
        <v>0.76</v>
      </c>
      <c r="AC159">
        <v>0.71399999999999997</v>
      </c>
      <c r="AD159">
        <v>0.72</v>
      </c>
      <c r="AE159">
        <v>0.72</v>
      </c>
      <c r="AF159">
        <v>0</v>
      </c>
      <c r="AH159">
        <v>3</v>
      </c>
      <c r="AI159">
        <v>4</v>
      </c>
      <c r="AJ159">
        <v>0.93100000000000005</v>
      </c>
      <c r="AK159">
        <v>0.76</v>
      </c>
      <c r="AL159">
        <v>0.71399999999999997</v>
      </c>
      <c r="AM159">
        <v>0.93100000000000005</v>
      </c>
      <c r="AN159">
        <v>0.76</v>
      </c>
      <c r="AO159">
        <v>0.71399999999999997</v>
      </c>
      <c r="AP159">
        <v>0.72</v>
      </c>
      <c r="AQ159">
        <v>0.72</v>
      </c>
      <c r="AR159">
        <v>0</v>
      </c>
    </row>
    <row r="164" spans="1:56" x14ac:dyDescent="0.2">
      <c r="A164">
        <f>COUNT(A166:A170)</f>
        <v>4</v>
      </c>
      <c r="B164">
        <f>COUNTIF(B166:B170,"&gt;4")</f>
        <v>2</v>
      </c>
      <c r="D164" t="s">
        <v>0</v>
      </c>
      <c r="E164" t="s">
        <v>1</v>
      </c>
      <c r="F164" t="s">
        <v>0</v>
      </c>
      <c r="G164" t="s">
        <v>2</v>
      </c>
      <c r="H164" t="s">
        <v>0</v>
      </c>
      <c r="I164" t="s">
        <v>0</v>
      </c>
      <c r="J164">
        <f>COUNT(J166:J170)</f>
        <v>2</v>
      </c>
      <c r="K164">
        <f>COUNTIF(K166:K170,"&gt;4")</f>
        <v>0</v>
      </c>
      <c r="M164">
        <f>COUNTIF(M166:M170,1)</f>
        <v>0</v>
      </c>
      <c r="N164">
        <f>COUNTIF(N166:N170,1)</f>
        <v>1</v>
      </c>
      <c r="O164">
        <f>COUNTIF(O166:O170,"&gt;0")</f>
        <v>2</v>
      </c>
      <c r="P164">
        <f>COUNTIF(P166:P170,1)</f>
        <v>0</v>
      </c>
      <c r="Q164">
        <f>COUNTIF(Q166:Q170,1)</f>
        <v>1</v>
      </c>
      <c r="S164">
        <f>COUNTIF(S166:S170,1)</f>
        <v>0</v>
      </c>
      <c r="T164">
        <f>COUNTIFS(T166:T170,1,K166:K170,"&gt;4")</f>
        <v>0</v>
      </c>
      <c r="U164" t="s">
        <v>0</v>
      </c>
      <c r="V164">
        <f>COUNT(V166:V170)</f>
        <v>4</v>
      </c>
      <c r="W164">
        <f>COUNTIF(W166:W170,"&gt;4")</f>
        <v>0</v>
      </c>
      <c r="Y164">
        <f>COUNTIF(Y166:Y170,1)</f>
        <v>0</v>
      </c>
      <c r="Z164">
        <f>COUNTIF(Z166:Z170,1)</f>
        <v>1</v>
      </c>
      <c r="AA164">
        <f>COUNTIF(AA166:AA170,"&gt;0")</f>
        <v>4</v>
      </c>
      <c r="AB164">
        <f>COUNTIF(AB166:AB170,1)</f>
        <v>0</v>
      </c>
      <c r="AC164">
        <f>COUNTIF(AC166:AC170,1)</f>
        <v>1</v>
      </c>
      <c r="AE164">
        <f>COUNTIF(AE166:AE170,1)</f>
        <v>0</v>
      </c>
      <c r="AF164">
        <f>COUNTIFS(AF166:AF170,1,W166:W170,"&gt;4")</f>
        <v>0</v>
      </c>
      <c r="AG164" t="s">
        <v>0</v>
      </c>
      <c r="AH164">
        <f>COUNT(AH166:AH170)</f>
        <v>1</v>
      </c>
      <c r="AI164">
        <f>COUNTIF(AI166:AI170,"&gt;4")</f>
        <v>0</v>
      </c>
      <c r="AK164">
        <f>COUNTIF(AK166:AK170,1)</f>
        <v>0</v>
      </c>
      <c r="AL164">
        <f>COUNTIF(AL166:AL170,1)</f>
        <v>1</v>
      </c>
      <c r="AM164">
        <f>COUNTIF(AM166:AM170,"&gt;0")</f>
        <v>0</v>
      </c>
      <c r="AN164">
        <f>COUNTIF(AN166:AN170,1)</f>
        <v>0</v>
      </c>
      <c r="AO164">
        <f>COUNTIF(AO166:AO170,1)</f>
        <v>0</v>
      </c>
      <c r="AQ164">
        <f>COUNTIF(AQ166:AQ170,1)</f>
        <v>0</v>
      </c>
      <c r="AR164">
        <f>COUNTIFS(AR166:AR170,1,AI166:AI170,"&gt;4")</f>
        <v>0</v>
      </c>
      <c r="AS164" t="s">
        <v>0</v>
      </c>
      <c r="AT164">
        <f>COUNT(AT166:AT170)</f>
        <v>1</v>
      </c>
      <c r="AU164">
        <f>COUNTIF(AU166:AU170,"&gt;4")</f>
        <v>0</v>
      </c>
      <c r="AW164">
        <f>COUNTIF(AW166:AW170,1)</f>
        <v>0</v>
      </c>
      <c r="AX164">
        <f>COUNTIF(AX166:AX170,1)</f>
        <v>0</v>
      </c>
      <c r="AY164">
        <f>COUNTIF(AY166:AY170,"&gt;0")</f>
        <v>1</v>
      </c>
      <c r="AZ164">
        <f>COUNTIF(AZ166:AZ170,1)</f>
        <v>0</v>
      </c>
      <c r="BA164">
        <f>COUNTIF(BA166:BA170,1)</f>
        <v>0</v>
      </c>
      <c r="BC164">
        <f>COUNTIF(BC166:BC170,1)</f>
        <v>0</v>
      </c>
      <c r="BD164">
        <f>COUNTIFS(BD166:BD170,1,AU166:AU170,"&gt;4")</f>
        <v>0</v>
      </c>
    </row>
    <row r="165" spans="1:56" x14ac:dyDescent="0.2">
      <c r="A165" t="s">
        <v>3</v>
      </c>
      <c r="B165" t="s">
        <v>4</v>
      </c>
      <c r="C165" t="s">
        <v>5</v>
      </c>
      <c r="D165" t="s">
        <v>6</v>
      </c>
      <c r="E165" t="s">
        <v>5</v>
      </c>
      <c r="F165" t="s">
        <v>6</v>
      </c>
      <c r="G165" t="s">
        <v>5</v>
      </c>
      <c r="H165" t="s">
        <v>6</v>
      </c>
      <c r="I165" t="s">
        <v>0</v>
      </c>
      <c r="J165" t="s">
        <v>3</v>
      </c>
      <c r="K165" t="s">
        <v>4</v>
      </c>
      <c r="L165" t="s">
        <v>5</v>
      </c>
      <c r="M165" t="s">
        <v>6</v>
      </c>
      <c r="N165" t="s">
        <v>7</v>
      </c>
      <c r="O165" t="s">
        <v>5</v>
      </c>
      <c r="P165" t="s">
        <v>6</v>
      </c>
      <c r="Q165" t="s">
        <v>8</v>
      </c>
      <c r="R165" t="s">
        <v>5</v>
      </c>
      <c r="S165" t="s">
        <v>6</v>
      </c>
      <c r="T165" t="s">
        <v>7</v>
      </c>
      <c r="U165" t="s">
        <v>0</v>
      </c>
      <c r="V165" t="s">
        <v>3</v>
      </c>
      <c r="W165" t="s">
        <v>4</v>
      </c>
      <c r="X165" t="s">
        <v>5</v>
      </c>
      <c r="Y165" t="s">
        <v>6</v>
      </c>
      <c r="Z165" t="s">
        <v>7</v>
      </c>
      <c r="AA165" t="s">
        <v>5</v>
      </c>
      <c r="AB165" t="s">
        <v>6</v>
      </c>
      <c r="AC165" t="s">
        <v>7</v>
      </c>
      <c r="AD165" t="s">
        <v>5</v>
      </c>
      <c r="AE165" t="s">
        <v>6</v>
      </c>
      <c r="AF165" t="s">
        <v>7</v>
      </c>
      <c r="AG165" t="s">
        <v>0</v>
      </c>
      <c r="AH165" t="s">
        <v>3</v>
      </c>
      <c r="AI165" t="s">
        <v>4</v>
      </c>
      <c r="AJ165" t="s">
        <v>5</v>
      </c>
      <c r="AK165" t="s">
        <v>6</v>
      </c>
      <c r="AL165" t="s">
        <v>7</v>
      </c>
      <c r="AM165" t="s">
        <v>5</v>
      </c>
      <c r="AN165" t="s">
        <v>6</v>
      </c>
      <c r="AO165" t="s">
        <v>7</v>
      </c>
      <c r="AP165" t="s">
        <v>5</v>
      </c>
      <c r="AQ165" t="s">
        <v>6</v>
      </c>
      <c r="AR165" t="s">
        <v>7</v>
      </c>
      <c r="AS165" t="s">
        <v>0</v>
      </c>
      <c r="AT165" t="s">
        <v>3</v>
      </c>
      <c r="AU165" t="s">
        <v>4</v>
      </c>
      <c r="AV165" t="s">
        <v>5</v>
      </c>
      <c r="AW165" t="s">
        <v>6</v>
      </c>
      <c r="AX165" t="s">
        <v>7</v>
      </c>
      <c r="AY165" t="s">
        <v>5</v>
      </c>
      <c r="AZ165" t="s">
        <v>6</v>
      </c>
      <c r="BA165" t="s">
        <v>7</v>
      </c>
      <c r="BB165" t="s">
        <v>5</v>
      </c>
      <c r="BC165" t="s">
        <v>6</v>
      </c>
      <c r="BD165" t="s">
        <v>7</v>
      </c>
    </row>
    <row r="166" spans="1:56" x14ac:dyDescent="0.2">
      <c r="A166">
        <v>1</v>
      </c>
      <c r="B166">
        <v>4</v>
      </c>
      <c r="C166">
        <v>0.99299999999999999</v>
      </c>
      <c r="D166">
        <v>0.98</v>
      </c>
      <c r="E166">
        <v>0.99299999999999999</v>
      </c>
      <c r="F166">
        <v>0.98</v>
      </c>
      <c r="G166">
        <v>0.57999999999999996</v>
      </c>
      <c r="H166">
        <v>0.57999999999999996</v>
      </c>
      <c r="J166">
        <v>1</v>
      </c>
      <c r="K166">
        <v>4</v>
      </c>
      <c r="L166">
        <v>0.99299999999999999</v>
      </c>
      <c r="M166">
        <v>0.98</v>
      </c>
      <c r="N166">
        <v>1</v>
      </c>
      <c r="O166">
        <v>0.99299999999999999</v>
      </c>
      <c r="P166">
        <v>0.98</v>
      </c>
      <c r="Q166">
        <v>1</v>
      </c>
      <c r="R166">
        <v>0.57999999999999996</v>
      </c>
      <c r="S166">
        <v>0.57999999999999996</v>
      </c>
      <c r="T166">
        <v>1</v>
      </c>
      <c r="V166">
        <v>1</v>
      </c>
      <c r="W166">
        <v>4</v>
      </c>
      <c r="X166">
        <v>0.99299999999999999</v>
      </c>
      <c r="Y166">
        <v>0.98</v>
      </c>
      <c r="Z166">
        <v>1</v>
      </c>
      <c r="AA166">
        <v>0.99299999999999999</v>
      </c>
      <c r="AB166">
        <v>0.98</v>
      </c>
      <c r="AC166">
        <v>1</v>
      </c>
      <c r="AD166">
        <v>0.57999999999999996</v>
      </c>
      <c r="AE166">
        <v>0.57999999999999996</v>
      </c>
      <c r="AF166">
        <v>1</v>
      </c>
      <c r="AH166">
        <v>1</v>
      </c>
      <c r="AI166">
        <v>4</v>
      </c>
      <c r="AJ166">
        <v>0.99299999999999999</v>
      </c>
      <c r="AK166">
        <v>0.98</v>
      </c>
      <c r="AL166">
        <v>1</v>
      </c>
      <c r="AM166">
        <v>0</v>
      </c>
      <c r="AN166">
        <v>0</v>
      </c>
      <c r="AO166">
        <v>0</v>
      </c>
      <c r="AP166">
        <v>0.86</v>
      </c>
      <c r="AQ166">
        <v>0.86</v>
      </c>
      <c r="AR166">
        <v>0</v>
      </c>
      <c r="AT166">
        <v>1</v>
      </c>
      <c r="AU166">
        <v>4</v>
      </c>
      <c r="AV166">
        <v>0.97099999999999997</v>
      </c>
      <c r="AW166">
        <v>0.81</v>
      </c>
      <c r="AX166">
        <v>0.95199999999999996</v>
      </c>
      <c r="AY166">
        <v>0.97</v>
      </c>
      <c r="AZ166">
        <v>0.81</v>
      </c>
      <c r="BA166">
        <v>0.95199999999999996</v>
      </c>
      <c r="BB166">
        <v>0.121</v>
      </c>
      <c r="BC166">
        <v>0.12</v>
      </c>
      <c r="BD166">
        <v>0</v>
      </c>
    </row>
    <row r="167" spans="1:56" x14ac:dyDescent="0.2">
      <c r="A167">
        <v>2</v>
      </c>
      <c r="B167">
        <v>5</v>
      </c>
      <c r="C167">
        <v>0.85799999999999998</v>
      </c>
      <c r="D167">
        <v>0.23</v>
      </c>
      <c r="E167">
        <v>0.85299999999999998</v>
      </c>
      <c r="F167">
        <v>0.14000000000000001</v>
      </c>
      <c r="G167">
        <v>0.184</v>
      </c>
      <c r="H167">
        <v>0.18</v>
      </c>
      <c r="J167">
        <v>2</v>
      </c>
      <c r="K167">
        <v>4</v>
      </c>
      <c r="L167">
        <v>0.97099999999999997</v>
      </c>
      <c r="M167">
        <v>0.81</v>
      </c>
      <c r="N167">
        <v>0.95199999999999996</v>
      </c>
      <c r="O167">
        <v>0.97</v>
      </c>
      <c r="P167">
        <v>0.81</v>
      </c>
      <c r="Q167">
        <v>0.95199999999999996</v>
      </c>
      <c r="R167">
        <v>0.38</v>
      </c>
      <c r="S167">
        <v>0.38</v>
      </c>
      <c r="T167">
        <v>0</v>
      </c>
      <c r="V167">
        <v>2</v>
      </c>
      <c r="W167">
        <v>4</v>
      </c>
      <c r="X167">
        <v>0.86699999999999999</v>
      </c>
      <c r="Y167">
        <v>0.41</v>
      </c>
      <c r="Z167">
        <v>0.95199999999999996</v>
      </c>
      <c r="AA167">
        <v>0.86699999999999999</v>
      </c>
      <c r="AB167">
        <v>0.41</v>
      </c>
      <c r="AC167">
        <v>0.95199999999999996</v>
      </c>
      <c r="AD167">
        <v>0.214</v>
      </c>
      <c r="AE167">
        <v>0.21</v>
      </c>
      <c r="AF167">
        <v>0</v>
      </c>
    </row>
    <row r="168" spans="1:56" x14ac:dyDescent="0.2">
      <c r="A168">
        <v>3</v>
      </c>
      <c r="B168">
        <v>5</v>
      </c>
      <c r="C168">
        <v>0.93500000000000005</v>
      </c>
      <c r="D168">
        <v>0.12</v>
      </c>
      <c r="E168">
        <v>0.93300000000000005</v>
      </c>
      <c r="F168">
        <v>0.09</v>
      </c>
      <c r="G168">
        <v>0.42099999999999999</v>
      </c>
      <c r="H168">
        <v>0.42</v>
      </c>
      <c r="V168">
        <v>3</v>
      </c>
      <c r="W168">
        <v>4</v>
      </c>
      <c r="X168">
        <v>0.97099999999999997</v>
      </c>
      <c r="Y168">
        <v>0.81</v>
      </c>
      <c r="Z168">
        <v>0.95199999999999996</v>
      </c>
      <c r="AA168">
        <v>0.97</v>
      </c>
      <c r="AB168">
        <v>0.81</v>
      </c>
      <c r="AC168">
        <v>0.95199999999999996</v>
      </c>
      <c r="AD168">
        <v>0.42099999999999999</v>
      </c>
      <c r="AE168">
        <v>0.42</v>
      </c>
      <c r="AF168">
        <v>1</v>
      </c>
    </row>
    <row r="169" spans="1:56" x14ac:dyDescent="0.2">
      <c r="A169">
        <v>4</v>
      </c>
      <c r="B169">
        <v>4</v>
      </c>
      <c r="C169">
        <v>0.74399999999999999</v>
      </c>
      <c r="D169">
        <v>0.12</v>
      </c>
      <c r="E169">
        <v>0.73799999999999999</v>
      </c>
      <c r="F169">
        <v>0</v>
      </c>
      <c r="G169">
        <v>1E-3</v>
      </c>
      <c r="H169">
        <v>0</v>
      </c>
      <c r="V169">
        <v>4</v>
      </c>
      <c r="W169">
        <v>4</v>
      </c>
      <c r="X169">
        <v>0.93</v>
      </c>
      <c r="Y169">
        <v>0.8</v>
      </c>
      <c r="Z169">
        <v>0.57099999999999995</v>
      </c>
      <c r="AA169">
        <v>0.91200000000000003</v>
      </c>
      <c r="AB169">
        <v>0.46</v>
      </c>
      <c r="AC169">
        <v>0.57099999999999995</v>
      </c>
      <c r="AD169">
        <v>0.86</v>
      </c>
      <c r="AE169">
        <v>0.86</v>
      </c>
      <c r="AF169">
        <v>0</v>
      </c>
    </row>
    <row r="175" spans="1:56" x14ac:dyDescent="0.2">
      <c r="A175">
        <f>COUNT(A177:A181)</f>
        <v>4</v>
      </c>
      <c r="B175">
        <f>COUNTIF(B177:B181,"&gt;4")</f>
        <v>0</v>
      </c>
      <c r="D175" t="s">
        <v>0</v>
      </c>
      <c r="E175" t="s">
        <v>1</v>
      </c>
      <c r="F175" t="s">
        <v>0</v>
      </c>
      <c r="G175" t="s">
        <v>2</v>
      </c>
      <c r="H175" t="s">
        <v>0</v>
      </c>
      <c r="I175" t="s">
        <v>0</v>
      </c>
      <c r="J175">
        <f>COUNT(J177:J181)</f>
        <v>4</v>
      </c>
      <c r="K175">
        <f>COUNTIF(K177:K181,"&gt;4")</f>
        <v>0</v>
      </c>
      <c r="M175">
        <f>COUNTIF(M177:M181,1)</f>
        <v>1</v>
      </c>
      <c r="N175">
        <f>COUNTIF(N177:N181,1)</f>
        <v>4</v>
      </c>
      <c r="O175">
        <f>COUNTIF(O177:O181,"&gt;0")</f>
        <v>4</v>
      </c>
      <c r="P175">
        <f>COUNTIF(P177:P181,1)</f>
        <v>0</v>
      </c>
      <c r="Q175">
        <f>COUNTIF(Q177:Q181,1)</f>
        <v>4</v>
      </c>
      <c r="S175">
        <f>COUNTIF(S177:S181,1)</f>
        <v>1</v>
      </c>
      <c r="T175">
        <f>COUNTIFS(T177:T181,1,K177:K181,"&gt;4")</f>
        <v>0</v>
      </c>
      <c r="U175" t="s">
        <v>0</v>
      </c>
      <c r="V175">
        <f>COUNT(V177:V181)</f>
        <v>4</v>
      </c>
      <c r="W175">
        <f>COUNTIF(W177:W181,"&gt;4")</f>
        <v>0</v>
      </c>
      <c r="Y175">
        <f>COUNTIF(Y177:Y181,1)</f>
        <v>1</v>
      </c>
      <c r="Z175">
        <f>COUNTIF(Z177:Z181,1)</f>
        <v>4</v>
      </c>
      <c r="AA175">
        <f>COUNTIF(AA177:AA181,"&gt;0")</f>
        <v>4</v>
      </c>
      <c r="AB175">
        <f>COUNTIF(AB177:AB181,1)</f>
        <v>0</v>
      </c>
      <c r="AC175">
        <f>COUNTIF(AC177:AC181,1)</f>
        <v>4</v>
      </c>
      <c r="AE175">
        <f>COUNTIF(AE177:AE181,1)</f>
        <v>1</v>
      </c>
      <c r="AF175">
        <f>COUNTIFS(AF177:AF181,1,W177:W181,"&gt;4")</f>
        <v>0</v>
      </c>
      <c r="AG175" t="s">
        <v>0</v>
      </c>
      <c r="AH175">
        <f>COUNT(AH177:AH181)</f>
        <v>4</v>
      </c>
      <c r="AI175">
        <f>COUNTIF(AI177:AI181,"&gt;4")</f>
        <v>0</v>
      </c>
      <c r="AK175">
        <f>COUNTIF(AK177:AK181,1)</f>
        <v>1</v>
      </c>
      <c r="AL175">
        <f>COUNTIF(AL177:AL181,1)</f>
        <v>4</v>
      </c>
      <c r="AM175">
        <f>COUNTIF(AM177:AM181,"&gt;0")</f>
        <v>4</v>
      </c>
      <c r="AN175">
        <f>COUNTIF(AN177:AN181,1)</f>
        <v>0</v>
      </c>
      <c r="AO175">
        <f>COUNTIF(AO177:AO181,1)</f>
        <v>4</v>
      </c>
      <c r="AQ175">
        <f>COUNTIF(AQ177:AQ181,1)</f>
        <v>1</v>
      </c>
      <c r="AR175">
        <f>COUNTIFS(AR177:AR181,1,AI177:AI181,"&gt;4")</f>
        <v>0</v>
      </c>
      <c r="AS175" t="s">
        <v>0</v>
      </c>
      <c r="AT175">
        <f>COUNT(AT177:AT181)</f>
        <v>0</v>
      </c>
      <c r="AU175">
        <f>COUNTIF(AU177:AU181,"&gt;4")</f>
        <v>0</v>
      </c>
      <c r="AW175">
        <f>COUNTIF(AW177:AW181,1)</f>
        <v>0</v>
      </c>
      <c r="AX175">
        <f>COUNTIF(AX177:AX181,1)</f>
        <v>0</v>
      </c>
      <c r="AY175">
        <f>COUNTIF(AY177:AY181,"&gt;0")</f>
        <v>0</v>
      </c>
      <c r="AZ175">
        <f>COUNTIF(AZ177:AZ181,1)</f>
        <v>0</v>
      </c>
      <c r="BA175">
        <f>COUNTIF(BA177:BA181,1)</f>
        <v>0</v>
      </c>
      <c r="BC175">
        <f>COUNTIF(BC177:BC181,1)</f>
        <v>0</v>
      </c>
      <c r="BD175">
        <f>COUNTIFS(BD177:BD181,1,AU177:AU181,"&gt;4")</f>
        <v>0</v>
      </c>
    </row>
    <row r="176" spans="1:56" x14ac:dyDescent="0.2">
      <c r="A176" t="s">
        <v>3</v>
      </c>
      <c r="B176" t="s">
        <v>4</v>
      </c>
      <c r="C176" t="s">
        <v>5</v>
      </c>
      <c r="D176" t="s">
        <v>6</v>
      </c>
      <c r="E176" t="s">
        <v>5</v>
      </c>
      <c r="F176" t="s">
        <v>6</v>
      </c>
      <c r="G176" t="s">
        <v>5</v>
      </c>
      <c r="H176" t="s">
        <v>6</v>
      </c>
      <c r="I176" t="s">
        <v>0</v>
      </c>
      <c r="J176" t="s">
        <v>3</v>
      </c>
      <c r="K176" t="s">
        <v>4</v>
      </c>
      <c r="L176" t="s">
        <v>5</v>
      </c>
      <c r="M176" t="s">
        <v>6</v>
      </c>
      <c r="N176" t="s">
        <v>7</v>
      </c>
      <c r="O176" t="s">
        <v>5</v>
      </c>
      <c r="P176" t="s">
        <v>6</v>
      </c>
      <c r="Q176" t="s">
        <v>8</v>
      </c>
      <c r="R176" t="s">
        <v>5</v>
      </c>
      <c r="S176" t="s">
        <v>6</v>
      </c>
      <c r="T176" t="s">
        <v>7</v>
      </c>
      <c r="U176" t="s">
        <v>0</v>
      </c>
      <c r="V176" t="s">
        <v>3</v>
      </c>
      <c r="W176" t="s">
        <v>4</v>
      </c>
      <c r="X176" t="s">
        <v>5</v>
      </c>
      <c r="Y176" t="s">
        <v>6</v>
      </c>
      <c r="Z176" t="s">
        <v>7</v>
      </c>
      <c r="AA176" t="s">
        <v>5</v>
      </c>
      <c r="AB176" t="s">
        <v>6</v>
      </c>
      <c r="AC176" t="s">
        <v>7</v>
      </c>
      <c r="AD176" t="s">
        <v>5</v>
      </c>
      <c r="AE176" t="s">
        <v>6</v>
      </c>
      <c r="AF176" t="s">
        <v>7</v>
      </c>
      <c r="AG176" t="s">
        <v>0</v>
      </c>
      <c r="AH176" t="s">
        <v>3</v>
      </c>
      <c r="AI176" t="s">
        <v>4</v>
      </c>
      <c r="AJ176" t="s">
        <v>5</v>
      </c>
      <c r="AK176" t="s">
        <v>6</v>
      </c>
      <c r="AL176" t="s">
        <v>7</v>
      </c>
      <c r="AM176" t="s">
        <v>5</v>
      </c>
      <c r="AN176" t="s">
        <v>6</v>
      </c>
      <c r="AO176" t="s">
        <v>7</v>
      </c>
      <c r="AP176" t="s">
        <v>5</v>
      </c>
      <c r="AQ176" t="s">
        <v>6</v>
      </c>
      <c r="AR176" t="s">
        <v>7</v>
      </c>
      <c r="AS176" t="s">
        <v>0</v>
      </c>
      <c r="AT176" t="s">
        <v>3</v>
      </c>
      <c r="AU176" t="s">
        <v>4</v>
      </c>
      <c r="AV176" t="s">
        <v>5</v>
      </c>
      <c r="AW176" t="s">
        <v>6</v>
      </c>
      <c r="AX176" t="s">
        <v>7</v>
      </c>
      <c r="AY176" t="s">
        <v>5</v>
      </c>
      <c r="AZ176" t="s">
        <v>6</v>
      </c>
      <c r="BA176" t="s">
        <v>7</v>
      </c>
      <c r="BB176" t="s">
        <v>5</v>
      </c>
      <c r="BC176" t="s">
        <v>6</v>
      </c>
      <c r="BD176" t="s">
        <v>7</v>
      </c>
    </row>
    <row r="177" spans="1:56" x14ac:dyDescent="0.2">
      <c r="A177">
        <v>1</v>
      </c>
      <c r="B177">
        <v>4</v>
      </c>
      <c r="C177">
        <v>0.996</v>
      </c>
      <c r="D177">
        <v>0.99</v>
      </c>
      <c r="E177">
        <v>0.996</v>
      </c>
      <c r="F177">
        <v>0.99</v>
      </c>
      <c r="G177">
        <v>0.125</v>
      </c>
      <c r="H177">
        <v>0</v>
      </c>
      <c r="J177">
        <v>1</v>
      </c>
      <c r="K177">
        <v>4</v>
      </c>
      <c r="L177">
        <v>0.996</v>
      </c>
      <c r="M177">
        <v>0.99</v>
      </c>
      <c r="N177">
        <v>1</v>
      </c>
      <c r="O177">
        <v>0.996</v>
      </c>
      <c r="P177">
        <v>0.99</v>
      </c>
      <c r="Q177">
        <v>1</v>
      </c>
      <c r="R177">
        <v>0.99</v>
      </c>
      <c r="S177">
        <v>0.99</v>
      </c>
      <c r="T177">
        <v>0.222</v>
      </c>
      <c r="V177">
        <v>1</v>
      </c>
      <c r="W177">
        <v>4</v>
      </c>
      <c r="X177">
        <v>0.996</v>
      </c>
      <c r="Y177">
        <v>0.99</v>
      </c>
      <c r="Z177">
        <v>1</v>
      </c>
      <c r="AA177">
        <v>0.996</v>
      </c>
      <c r="AB177">
        <v>0.99</v>
      </c>
      <c r="AC177">
        <v>1</v>
      </c>
      <c r="AD177">
        <v>0.99</v>
      </c>
      <c r="AE177">
        <v>0.99</v>
      </c>
      <c r="AF177">
        <v>0.222</v>
      </c>
      <c r="AH177">
        <v>1</v>
      </c>
      <c r="AI177">
        <v>4</v>
      </c>
      <c r="AJ177">
        <v>0.996</v>
      </c>
      <c r="AK177">
        <v>0.99</v>
      </c>
      <c r="AL177">
        <v>1</v>
      </c>
      <c r="AM177">
        <v>0.996</v>
      </c>
      <c r="AN177">
        <v>0.99</v>
      </c>
      <c r="AO177">
        <v>1</v>
      </c>
      <c r="AP177">
        <v>0.99</v>
      </c>
      <c r="AQ177">
        <v>0.99</v>
      </c>
      <c r="AR177">
        <v>0.222</v>
      </c>
    </row>
    <row r="178" spans="1:56" x14ac:dyDescent="0.2">
      <c r="A178">
        <v>2</v>
      </c>
      <c r="B178">
        <v>4</v>
      </c>
      <c r="C178">
        <v>1</v>
      </c>
      <c r="D178">
        <v>1</v>
      </c>
      <c r="E178">
        <v>0.999</v>
      </c>
      <c r="F178">
        <v>0.99</v>
      </c>
      <c r="G178">
        <v>0.22</v>
      </c>
      <c r="H178">
        <v>0</v>
      </c>
      <c r="J178">
        <v>2</v>
      </c>
      <c r="K178">
        <v>4</v>
      </c>
      <c r="L178">
        <v>1</v>
      </c>
      <c r="M178">
        <v>1</v>
      </c>
      <c r="N178">
        <v>1</v>
      </c>
      <c r="O178">
        <v>0.999</v>
      </c>
      <c r="P178">
        <v>0.99</v>
      </c>
      <c r="Q178">
        <v>1</v>
      </c>
      <c r="R178">
        <v>1</v>
      </c>
      <c r="S178">
        <v>1</v>
      </c>
      <c r="T178">
        <v>0</v>
      </c>
      <c r="V178">
        <v>2</v>
      </c>
      <c r="W178">
        <v>4</v>
      </c>
      <c r="X178">
        <v>1</v>
      </c>
      <c r="Y178">
        <v>1</v>
      </c>
      <c r="Z178">
        <v>1</v>
      </c>
      <c r="AA178">
        <v>0.999</v>
      </c>
      <c r="AB178">
        <v>0.99</v>
      </c>
      <c r="AC178">
        <v>1</v>
      </c>
      <c r="AD178">
        <v>1</v>
      </c>
      <c r="AE178">
        <v>1</v>
      </c>
      <c r="AF178">
        <v>0</v>
      </c>
      <c r="AH178">
        <v>2</v>
      </c>
      <c r="AI178">
        <v>4</v>
      </c>
      <c r="AJ178">
        <v>1</v>
      </c>
      <c r="AK178">
        <v>1</v>
      </c>
      <c r="AL178">
        <v>1</v>
      </c>
      <c r="AM178">
        <v>0.999</v>
      </c>
      <c r="AN178">
        <v>0.99</v>
      </c>
      <c r="AO178">
        <v>1</v>
      </c>
      <c r="AP178">
        <v>1</v>
      </c>
      <c r="AQ178">
        <v>1</v>
      </c>
      <c r="AR178">
        <v>0</v>
      </c>
    </row>
    <row r="179" spans="1:56" x14ac:dyDescent="0.2">
      <c r="A179">
        <v>3</v>
      </c>
      <c r="B179">
        <v>4</v>
      </c>
      <c r="C179">
        <v>0.98699999999999999</v>
      </c>
      <c r="D179">
        <v>0.97</v>
      </c>
      <c r="E179">
        <v>0.98699999999999999</v>
      </c>
      <c r="F179">
        <v>0.97</v>
      </c>
      <c r="G179">
        <v>0.02</v>
      </c>
      <c r="H179">
        <v>0.02</v>
      </c>
      <c r="J179">
        <v>3</v>
      </c>
      <c r="K179">
        <v>4</v>
      </c>
      <c r="L179">
        <v>0.98699999999999999</v>
      </c>
      <c r="M179">
        <v>0.97</v>
      </c>
      <c r="N179">
        <v>1</v>
      </c>
      <c r="O179">
        <v>0.98699999999999999</v>
      </c>
      <c r="P179">
        <v>0.97</v>
      </c>
      <c r="Q179">
        <v>1</v>
      </c>
      <c r="R179">
        <v>0.94</v>
      </c>
      <c r="S179">
        <v>0.94</v>
      </c>
      <c r="T179">
        <v>0</v>
      </c>
      <c r="V179">
        <v>3</v>
      </c>
      <c r="W179">
        <v>4</v>
      </c>
      <c r="X179">
        <v>0.98699999999999999</v>
      </c>
      <c r="Y179">
        <v>0.97</v>
      </c>
      <c r="Z179">
        <v>1</v>
      </c>
      <c r="AA179">
        <v>0.98699999999999999</v>
      </c>
      <c r="AB179">
        <v>0.97</v>
      </c>
      <c r="AC179">
        <v>1</v>
      </c>
      <c r="AD179">
        <v>0.94</v>
      </c>
      <c r="AE179">
        <v>0.94</v>
      </c>
      <c r="AF179">
        <v>0</v>
      </c>
      <c r="AH179">
        <v>3</v>
      </c>
      <c r="AI179">
        <v>4</v>
      </c>
      <c r="AJ179">
        <v>0.98699999999999999</v>
      </c>
      <c r="AK179">
        <v>0.97</v>
      </c>
      <c r="AL179">
        <v>1</v>
      </c>
      <c r="AM179">
        <v>0.98699999999999999</v>
      </c>
      <c r="AN179">
        <v>0.97</v>
      </c>
      <c r="AO179">
        <v>1</v>
      </c>
      <c r="AP179">
        <v>0.94</v>
      </c>
      <c r="AQ179">
        <v>0.94</v>
      </c>
      <c r="AR179">
        <v>0</v>
      </c>
    </row>
    <row r="180" spans="1:56" x14ac:dyDescent="0.2">
      <c r="A180">
        <v>4</v>
      </c>
      <c r="B180">
        <v>4</v>
      </c>
      <c r="C180">
        <v>0.97199999999999998</v>
      </c>
      <c r="D180">
        <v>0.93</v>
      </c>
      <c r="E180">
        <v>0.97199999999999998</v>
      </c>
      <c r="F180">
        <v>0.93</v>
      </c>
      <c r="G180">
        <v>0.14000000000000001</v>
      </c>
      <c r="H180">
        <v>0.14000000000000001</v>
      </c>
      <c r="J180">
        <v>4</v>
      </c>
      <c r="K180">
        <v>4</v>
      </c>
      <c r="L180">
        <v>0.97199999999999998</v>
      </c>
      <c r="M180">
        <v>0.93</v>
      </c>
      <c r="N180">
        <v>1</v>
      </c>
      <c r="O180">
        <v>0.97199999999999998</v>
      </c>
      <c r="P180">
        <v>0.93</v>
      </c>
      <c r="Q180">
        <v>1</v>
      </c>
      <c r="R180">
        <v>0.74</v>
      </c>
      <c r="S180">
        <v>0.74</v>
      </c>
      <c r="T180">
        <v>0</v>
      </c>
      <c r="V180">
        <v>4</v>
      </c>
      <c r="W180">
        <v>4</v>
      </c>
      <c r="X180">
        <v>0.97199999999999998</v>
      </c>
      <c r="Y180">
        <v>0.93</v>
      </c>
      <c r="Z180">
        <v>1</v>
      </c>
      <c r="AA180">
        <v>0.97199999999999998</v>
      </c>
      <c r="AB180">
        <v>0.93</v>
      </c>
      <c r="AC180">
        <v>1</v>
      </c>
      <c r="AD180">
        <v>0.74</v>
      </c>
      <c r="AE180">
        <v>0.74</v>
      </c>
      <c r="AF180">
        <v>0</v>
      </c>
      <c r="AH180">
        <v>4</v>
      </c>
      <c r="AI180">
        <v>4</v>
      </c>
      <c r="AJ180">
        <v>0.97199999999999998</v>
      </c>
      <c r="AK180">
        <v>0.93</v>
      </c>
      <c r="AL180">
        <v>1</v>
      </c>
      <c r="AM180">
        <v>0.97199999999999998</v>
      </c>
      <c r="AN180">
        <v>0.93</v>
      </c>
      <c r="AO180">
        <v>1</v>
      </c>
      <c r="AP180">
        <v>0.74</v>
      </c>
      <c r="AQ180">
        <v>0.74</v>
      </c>
      <c r="AR180">
        <v>0</v>
      </c>
    </row>
    <row r="185" spans="1:56" x14ac:dyDescent="0.2">
      <c r="A185">
        <f>COUNT(A187:A191)</f>
        <v>4</v>
      </c>
      <c r="B185">
        <f>COUNTIF(B187:B191,"&gt;4")</f>
        <v>3</v>
      </c>
      <c r="D185" t="s">
        <v>0</v>
      </c>
      <c r="E185" t="s">
        <v>1</v>
      </c>
      <c r="F185" t="s">
        <v>0</v>
      </c>
      <c r="G185" t="s">
        <v>2</v>
      </c>
      <c r="H185" t="s">
        <v>0</v>
      </c>
      <c r="I185" t="s">
        <v>0</v>
      </c>
      <c r="J185">
        <f>COUNT(J187:J191)</f>
        <v>3</v>
      </c>
      <c r="K185">
        <f>COUNTIF(K187:K191,"&gt;4")</f>
        <v>1</v>
      </c>
      <c r="M185">
        <f>COUNTIF(M187:M191,1)</f>
        <v>0</v>
      </c>
      <c r="N185">
        <f>COUNTIF(N187:N191,1)</f>
        <v>1</v>
      </c>
      <c r="O185">
        <f>COUNTIF(O187:O191,"&gt;0")</f>
        <v>3</v>
      </c>
      <c r="P185">
        <f>COUNTIF(P187:P191,1)</f>
        <v>0</v>
      </c>
      <c r="Q185">
        <f>COUNTIF(Q187:Q191,1)</f>
        <v>1</v>
      </c>
      <c r="S185">
        <f>COUNTIF(S187:S191,1)</f>
        <v>0</v>
      </c>
      <c r="T185">
        <f>COUNTIFS(T187:T191,1,K187:K191,"&gt;4")</f>
        <v>1</v>
      </c>
      <c r="U185" t="s">
        <v>0</v>
      </c>
      <c r="V185">
        <f>COUNT(V187:V191)</f>
        <v>2</v>
      </c>
      <c r="W185">
        <f>COUNTIF(W187:W191,"&gt;4")</f>
        <v>2</v>
      </c>
      <c r="Y185">
        <f>COUNTIF(Y187:Y191,1)</f>
        <v>0</v>
      </c>
      <c r="Z185">
        <f>COUNTIF(Z187:Z191,1)</f>
        <v>2</v>
      </c>
      <c r="AA185">
        <f>COUNTIF(AA187:AA191,"&gt;0")</f>
        <v>2</v>
      </c>
      <c r="AB185">
        <f>COUNTIF(AB187:AB191,1)</f>
        <v>0</v>
      </c>
      <c r="AC185">
        <f>COUNTIF(AC187:AC191,1)</f>
        <v>2</v>
      </c>
      <c r="AE185">
        <f>COUNTIF(AE187:AE191,1)</f>
        <v>0</v>
      </c>
      <c r="AF185">
        <f>COUNTIFS(AF187:AF191,1,W187:W191,"&gt;4")</f>
        <v>2</v>
      </c>
      <c r="AG185" t="s">
        <v>0</v>
      </c>
      <c r="AH185">
        <f>COUNT(AH187:AH191)</f>
        <v>2</v>
      </c>
      <c r="AI185">
        <f>COUNTIF(AI187:AI191,"&gt;4")</f>
        <v>2</v>
      </c>
      <c r="AK185">
        <f>COUNTIF(AK187:AK191,1)</f>
        <v>0</v>
      </c>
      <c r="AL185">
        <f>COUNTIF(AL187:AL191,1)</f>
        <v>2</v>
      </c>
      <c r="AM185">
        <f>COUNTIF(AM187:AM191,"&gt;0")</f>
        <v>1</v>
      </c>
      <c r="AN185">
        <f>COUNTIF(AN187:AN191,1)</f>
        <v>0</v>
      </c>
      <c r="AO185">
        <f>COUNTIF(AO187:AO191,1)</f>
        <v>1</v>
      </c>
      <c r="AQ185">
        <f>COUNTIF(AQ187:AQ191,1)</f>
        <v>0</v>
      </c>
      <c r="AR185">
        <f>COUNTIFS(AR187:AR191,1,AI187:AI191,"&gt;4")</f>
        <v>2</v>
      </c>
      <c r="AS185" t="s">
        <v>0</v>
      </c>
      <c r="AT185">
        <f>COUNT(AT187:AT191)</f>
        <v>3</v>
      </c>
      <c r="AU185">
        <f>COUNTIF(AU187:AU191,"&gt;4")</f>
        <v>3</v>
      </c>
      <c r="AW185">
        <f>COUNTIF(AW187:AW191,1)</f>
        <v>0</v>
      </c>
      <c r="AX185">
        <f>COUNTIF(AX187:AX191,1)</f>
        <v>2</v>
      </c>
      <c r="AY185">
        <f>COUNTIF(AY187:AY191,"&gt;0")</f>
        <v>2</v>
      </c>
      <c r="AZ185">
        <f>COUNTIF(AZ187:AZ191,1)</f>
        <v>0</v>
      </c>
      <c r="BA185">
        <f>COUNTIF(BA187:BA191,1)</f>
        <v>2</v>
      </c>
      <c r="BC185">
        <f>COUNTIF(BC187:BC191,1)</f>
        <v>0</v>
      </c>
      <c r="BD185">
        <f>COUNTIFS(BD187:BD191,1,AU187:AU191,"&gt;4")</f>
        <v>3</v>
      </c>
    </row>
    <row r="186" spans="1:56" x14ac:dyDescent="0.2">
      <c r="A186" t="s">
        <v>3</v>
      </c>
      <c r="B186" t="s">
        <v>4</v>
      </c>
      <c r="C186" t="s">
        <v>5</v>
      </c>
      <c r="D186" t="s">
        <v>6</v>
      </c>
      <c r="E186" t="s">
        <v>5</v>
      </c>
      <c r="F186" t="s">
        <v>6</v>
      </c>
      <c r="G186" t="s">
        <v>5</v>
      </c>
      <c r="H186" t="s">
        <v>6</v>
      </c>
      <c r="I186" t="s">
        <v>0</v>
      </c>
      <c r="J186" t="s">
        <v>3</v>
      </c>
      <c r="K186" t="s">
        <v>4</v>
      </c>
      <c r="L186" t="s">
        <v>5</v>
      </c>
      <c r="M186" t="s">
        <v>6</v>
      </c>
      <c r="N186" t="s">
        <v>7</v>
      </c>
      <c r="O186" t="s">
        <v>5</v>
      </c>
      <c r="P186" t="s">
        <v>6</v>
      </c>
      <c r="Q186" t="s">
        <v>8</v>
      </c>
      <c r="R186" t="s">
        <v>5</v>
      </c>
      <c r="S186" t="s">
        <v>6</v>
      </c>
      <c r="T186" t="s">
        <v>7</v>
      </c>
      <c r="U186" t="s">
        <v>0</v>
      </c>
      <c r="V186" t="s">
        <v>3</v>
      </c>
      <c r="W186" t="s">
        <v>4</v>
      </c>
      <c r="X186" t="s">
        <v>5</v>
      </c>
      <c r="Y186" t="s">
        <v>6</v>
      </c>
      <c r="Z186" t="s">
        <v>7</v>
      </c>
      <c r="AA186" t="s">
        <v>5</v>
      </c>
      <c r="AB186" t="s">
        <v>6</v>
      </c>
      <c r="AC186" t="s">
        <v>7</v>
      </c>
      <c r="AD186" t="s">
        <v>5</v>
      </c>
      <c r="AE186" t="s">
        <v>6</v>
      </c>
      <c r="AF186" t="s">
        <v>7</v>
      </c>
      <c r="AG186" t="s">
        <v>0</v>
      </c>
      <c r="AH186" t="s">
        <v>3</v>
      </c>
      <c r="AI186" t="s">
        <v>4</v>
      </c>
      <c r="AJ186" t="s">
        <v>5</v>
      </c>
      <c r="AK186" t="s">
        <v>6</v>
      </c>
      <c r="AL186" t="s">
        <v>7</v>
      </c>
      <c r="AM186" t="s">
        <v>5</v>
      </c>
      <c r="AN186" t="s">
        <v>6</v>
      </c>
      <c r="AO186" t="s">
        <v>7</v>
      </c>
      <c r="AP186" t="s">
        <v>5</v>
      </c>
      <c r="AQ186" t="s">
        <v>6</v>
      </c>
      <c r="AR186" t="s">
        <v>7</v>
      </c>
      <c r="AS186" t="s">
        <v>0</v>
      </c>
      <c r="AT186" t="s">
        <v>3</v>
      </c>
      <c r="AU186" t="s">
        <v>4</v>
      </c>
      <c r="AV186" t="s">
        <v>5</v>
      </c>
      <c r="AW186" t="s">
        <v>6</v>
      </c>
      <c r="AX186" t="s">
        <v>7</v>
      </c>
      <c r="AY186" t="s">
        <v>5</v>
      </c>
      <c r="AZ186" t="s">
        <v>6</v>
      </c>
      <c r="BA186" t="s">
        <v>7</v>
      </c>
      <c r="BB186" t="s">
        <v>5</v>
      </c>
      <c r="BC186" t="s">
        <v>6</v>
      </c>
      <c r="BD186" t="s">
        <v>7</v>
      </c>
    </row>
    <row r="187" spans="1:56" x14ac:dyDescent="0.2">
      <c r="A187">
        <v>1</v>
      </c>
      <c r="B187">
        <v>4</v>
      </c>
      <c r="C187">
        <v>0.70799999999999996</v>
      </c>
      <c r="D187">
        <v>0.1</v>
      </c>
      <c r="E187">
        <v>0.70299999999999996</v>
      </c>
      <c r="F187">
        <v>0</v>
      </c>
      <c r="G187">
        <v>8.8999999999999996E-2</v>
      </c>
      <c r="H187">
        <v>0.01</v>
      </c>
      <c r="J187">
        <v>1</v>
      </c>
      <c r="K187">
        <v>5</v>
      </c>
      <c r="L187">
        <v>0.98899999999999999</v>
      </c>
      <c r="M187">
        <v>0.76</v>
      </c>
      <c r="N187">
        <v>1</v>
      </c>
      <c r="O187">
        <v>0.98899999999999999</v>
      </c>
      <c r="P187">
        <v>0.76</v>
      </c>
      <c r="Q187">
        <v>1</v>
      </c>
      <c r="R187">
        <v>0.97</v>
      </c>
      <c r="S187">
        <v>0.97</v>
      </c>
      <c r="T187">
        <v>1</v>
      </c>
      <c r="V187">
        <v>1</v>
      </c>
      <c r="W187">
        <v>5</v>
      </c>
      <c r="X187">
        <v>0.98899999999999999</v>
      </c>
      <c r="Y187">
        <v>0.76</v>
      </c>
      <c r="Z187">
        <v>1</v>
      </c>
      <c r="AA187">
        <v>0.98899999999999999</v>
      </c>
      <c r="AB187">
        <v>0.76</v>
      </c>
      <c r="AC187">
        <v>1</v>
      </c>
      <c r="AD187">
        <v>0.97</v>
      </c>
      <c r="AE187">
        <v>0.97</v>
      </c>
      <c r="AF187">
        <v>1</v>
      </c>
      <c r="AH187">
        <v>1</v>
      </c>
      <c r="AI187">
        <v>5</v>
      </c>
      <c r="AJ187">
        <v>0.98899999999999999</v>
      </c>
      <c r="AK187">
        <v>0.76</v>
      </c>
      <c r="AL187">
        <v>1</v>
      </c>
      <c r="AM187">
        <v>0.98899999999999999</v>
      </c>
      <c r="AN187">
        <v>0.76</v>
      </c>
      <c r="AO187">
        <v>1</v>
      </c>
      <c r="AP187">
        <v>0.97</v>
      </c>
      <c r="AQ187">
        <v>0.97</v>
      </c>
      <c r="AR187">
        <v>1</v>
      </c>
      <c r="AT187">
        <v>1</v>
      </c>
      <c r="AU187">
        <v>5</v>
      </c>
      <c r="AV187">
        <v>0.98899999999999999</v>
      </c>
      <c r="AW187">
        <v>0.76</v>
      </c>
      <c r="AX187">
        <v>1</v>
      </c>
      <c r="AY187">
        <v>0.98899999999999999</v>
      </c>
      <c r="AZ187">
        <v>0.76</v>
      </c>
      <c r="BA187">
        <v>1</v>
      </c>
      <c r="BB187">
        <v>0.97</v>
      </c>
      <c r="BC187">
        <v>0.97</v>
      </c>
      <c r="BD187">
        <v>1</v>
      </c>
    </row>
    <row r="188" spans="1:56" x14ac:dyDescent="0.2">
      <c r="A188">
        <v>2</v>
      </c>
      <c r="B188">
        <v>5</v>
      </c>
      <c r="C188">
        <v>0.98899999999999999</v>
      </c>
      <c r="D188">
        <v>0.76</v>
      </c>
      <c r="E188">
        <v>0.98899999999999999</v>
      </c>
      <c r="F188">
        <v>0.76</v>
      </c>
      <c r="G188">
        <v>0.97</v>
      </c>
      <c r="H188">
        <v>0.97</v>
      </c>
      <c r="J188">
        <v>2</v>
      </c>
      <c r="K188">
        <v>4</v>
      </c>
      <c r="L188">
        <v>0.94299999999999995</v>
      </c>
      <c r="M188">
        <v>0.17</v>
      </c>
      <c r="N188">
        <v>0.95199999999999996</v>
      </c>
      <c r="O188">
        <v>0.94299999999999995</v>
      </c>
      <c r="P188">
        <v>0.17</v>
      </c>
      <c r="Q188">
        <v>0.95199999999999996</v>
      </c>
      <c r="R188">
        <v>0.183</v>
      </c>
      <c r="S188">
        <v>0.17</v>
      </c>
      <c r="T188">
        <v>0</v>
      </c>
      <c r="V188">
        <v>2</v>
      </c>
      <c r="W188">
        <v>5</v>
      </c>
      <c r="X188">
        <v>0.97299999999999998</v>
      </c>
      <c r="Y188">
        <v>0.67</v>
      </c>
      <c r="Z188">
        <v>1</v>
      </c>
      <c r="AA188">
        <v>0.97299999999999998</v>
      </c>
      <c r="AB188">
        <v>0.67</v>
      </c>
      <c r="AC188">
        <v>1</v>
      </c>
      <c r="AD188">
        <v>0.754</v>
      </c>
      <c r="AE188">
        <v>0.75</v>
      </c>
      <c r="AF188">
        <v>1</v>
      </c>
      <c r="AH188">
        <v>2</v>
      </c>
      <c r="AI188">
        <v>5</v>
      </c>
      <c r="AJ188">
        <v>0.97299999999999998</v>
      </c>
      <c r="AK188">
        <v>0.67</v>
      </c>
      <c r="AL188">
        <v>1</v>
      </c>
      <c r="AP188">
        <v>0.754</v>
      </c>
      <c r="AQ188">
        <v>0.75</v>
      </c>
      <c r="AR188">
        <v>1</v>
      </c>
      <c r="AT188">
        <v>2</v>
      </c>
      <c r="AU188">
        <v>5</v>
      </c>
      <c r="AV188">
        <v>0.97299999999999998</v>
      </c>
      <c r="AW188">
        <v>0.67</v>
      </c>
      <c r="AX188">
        <v>1</v>
      </c>
      <c r="AY188">
        <v>0.97299999999999998</v>
      </c>
      <c r="AZ188">
        <v>0.67</v>
      </c>
      <c r="BA188">
        <v>1</v>
      </c>
      <c r="BB188">
        <v>0.754</v>
      </c>
      <c r="BC188">
        <v>0.75</v>
      </c>
      <c r="BD188">
        <v>1</v>
      </c>
    </row>
    <row r="189" spans="1:56" x14ac:dyDescent="0.2">
      <c r="A189">
        <v>3</v>
      </c>
      <c r="B189">
        <v>5</v>
      </c>
      <c r="C189">
        <v>0.97299999999999998</v>
      </c>
      <c r="D189">
        <v>0.67</v>
      </c>
      <c r="E189">
        <v>0.97299999999999998</v>
      </c>
      <c r="F189">
        <v>0.67</v>
      </c>
      <c r="G189">
        <v>0.754</v>
      </c>
      <c r="H189">
        <v>0.75</v>
      </c>
      <c r="J189">
        <v>3</v>
      </c>
      <c r="K189">
        <v>4</v>
      </c>
      <c r="L189">
        <v>0.90100000000000002</v>
      </c>
      <c r="M189">
        <v>0.28999999999999998</v>
      </c>
      <c r="N189">
        <v>0.90500000000000003</v>
      </c>
      <c r="O189">
        <v>0.90100000000000002</v>
      </c>
      <c r="P189">
        <v>0.28999999999999998</v>
      </c>
      <c r="Q189">
        <v>0.90500000000000003</v>
      </c>
      <c r="R189">
        <v>0.18</v>
      </c>
      <c r="S189">
        <v>0.18</v>
      </c>
      <c r="T189">
        <v>0</v>
      </c>
      <c r="AT189">
        <v>3</v>
      </c>
      <c r="AU189">
        <v>5</v>
      </c>
      <c r="AV189">
        <v>0.91700000000000004</v>
      </c>
      <c r="AW189">
        <v>0.18</v>
      </c>
      <c r="AX189">
        <v>0.95199999999999996</v>
      </c>
      <c r="BB189">
        <v>0.51500000000000001</v>
      </c>
      <c r="BC189">
        <v>0.48</v>
      </c>
      <c r="BD189">
        <v>1</v>
      </c>
    </row>
    <row r="190" spans="1:56" x14ac:dyDescent="0.2">
      <c r="A190">
        <v>4</v>
      </c>
      <c r="B190">
        <v>6</v>
      </c>
      <c r="C190">
        <v>0.90900000000000003</v>
      </c>
      <c r="D190">
        <v>0.32</v>
      </c>
      <c r="E190">
        <v>0.90900000000000003</v>
      </c>
      <c r="F190">
        <v>0.32</v>
      </c>
      <c r="G190">
        <v>0.51500000000000001</v>
      </c>
      <c r="H190">
        <v>0.48</v>
      </c>
    </row>
    <row r="195" spans="1:56" x14ac:dyDescent="0.2">
      <c r="A195">
        <f>COUNT(A197:A201)</f>
        <v>4</v>
      </c>
      <c r="B195">
        <f>COUNTIF(B197:B201,"&gt;4")</f>
        <v>3</v>
      </c>
      <c r="D195" t="s">
        <v>0</v>
      </c>
      <c r="E195" t="s">
        <v>1</v>
      </c>
      <c r="F195" t="s">
        <v>0</v>
      </c>
      <c r="G195" t="s">
        <v>2</v>
      </c>
      <c r="H195" t="s">
        <v>0</v>
      </c>
      <c r="I195" t="s">
        <v>0</v>
      </c>
      <c r="J195">
        <f>COUNT(J197:J201)</f>
        <v>3</v>
      </c>
      <c r="K195">
        <f>COUNTIF(K197:K201,"&gt;4")</f>
        <v>1</v>
      </c>
      <c r="M195">
        <f>COUNTIF(M197:M201,1)</f>
        <v>0</v>
      </c>
      <c r="N195">
        <f>COUNTIF(N197:N201,1)</f>
        <v>0</v>
      </c>
      <c r="O195">
        <f>COUNTIF(O197:O201,"&gt;0")</f>
        <v>3</v>
      </c>
      <c r="P195">
        <f>COUNTIF(P197:P201,1)</f>
        <v>0</v>
      </c>
      <c r="Q195">
        <f>COUNTIF(Q197:Q201,1)</f>
        <v>0</v>
      </c>
      <c r="S195">
        <f>COUNTIF(S197:S201,1)</f>
        <v>0</v>
      </c>
      <c r="T195">
        <f>COUNTIFS(T197:T201,1,K197:K201,"&gt;4")</f>
        <v>1</v>
      </c>
      <c r="U195" t="s">
        <v>0</v>
      </c>
      <c r="V195">
        <f>COUNT(V197:V201)</f>
        <v>3</v>
      </c>
      <c r="W195">
        <f>COUNTIF(W197:W201,"&gt;4")</f>
        <v>2</v>
      </c>
      <c r="Y195">
        <f>COUNTIF(Y197:Y201,1)</f>
        <v>0</v>
      </c>
      <c r="Z195">
        <f>COUNTIF(Z197:Z201,1)</f>
        <v>1</v>
      </c>
      <c r="AA195">
        <f>COUNTIF(AA197:AA201,"&gt;0")</f>
        <v>3</v>
      </c>
      <c r="AB195">
        <f>COUNTIF(AB197:AB201,1)</f>
        <v>0</v>
      </c>
      <c r="AC195">
        <f>COUNTIF(AC197:AC201,1)</f>
        <v>1</v>
      </c>
      <c r="AE195">
        <f>COUNTIF(AE197:AE201,1)</f>
        <v>0</v>
      </c>
      <c r="AF195">
        <f>COUNTIFS(AF197:AF201,1,W197:W201,"&gt;4")</f>
        <v>2</v>
      </c>
      <c r="AG195" t="s">
        <v>0</v>
      </c>
      <c r="AH195">
        <f>COUNT(AH197:AH201)</f>
        <v>1</v>
      </c>
      <c r="AI195">
        <f>COUNTIF(AI197:AI201,"&gt;4")</f>
        <v>1</v>
      </c>
      <c r="AK195">
        <f>COUNTIF(AK197:AK201,1)</f>
        <v>0</v>
      </c>
      <c r="AL195">
        <f>COUNTIF(AL197:AL201,1)</f>
        <v>1</v>
      </c>
      <c r="AM195">
        <f>COUNTIF(AM197:AM201,"&gt;0")</f>
        <v>0</v>
      </c>
      <c r="AN195">
        <f>COUNTIF(AN197:AN201,1)</f>
        <v>0</v>
      </c>
      <c r="AO195">
        <f>COUNTIF(AO197:AO201,1)</f>
        <v>0</v>
      </c>
      <c r="AQ195">
        <f>COUNTIF(AQ197:AQ201,1)</f>
        <v>0</v>
      </c>
      <c r="AR195">
        <f>COUNTIFS(AR197:AR201,1,AI197:AI201,"&gt;4")</f>
        <v>1</v>
      </c>
      <c r="AS195" t="s">
        <v>0</v>
      </c>
      <c r="AT195">
        <f>COUNT(AT197:AT201)</f>
        <v>3</v>
      </c>
      <c r="AU195">
        <f>COUNTIF(AU197:AU201,"&gt;4")</f>
        <v>2</v>
      </c>
      <c r="AW195">
        <f>COUNTIF(AW197:AW201,1)</f>
        <v>0</v>
      </c>
      <c r="AX195">
        <f>COUNTIF(AX197:AX201,1)</f>
        <v>2</v>
      </c>
      <c r="AY195">
        <f>COUNTIF(AY197:AY201,"&gt;0")</f>
        <v>2</v>
      </c>
      <c r="AZ195">
        <f>COUNTIF(AZ197:AZ201,1)</f>
        <v>0</v>
      </c>
      <c r="BA195">
        <f>COUNTIF(BA197:BA201,1)</f>
        <v>1</v>
      </c>
      <c r="BC195">
        <f>COUNTIF(BC197:BC201,1)</f>
        <v>0</v>
      </c>
      <c r="BD195">
        <f>COUNTIFS(BD197:BD201,1,AU197:AU201,"&gt;4")</f>
        <v>2</v>
      </c>
    </row>
    <row r="196" spans="1:56" x14ac:dyDescent="0.2">
      <c r="A196" t="s">
        <v>3</v>
      </c>
      <c r="B196" t="s">
        <v>4</v>
      </c>
      <c r="C196" t="s">
        <v>5</v>
      </c>
      <c r="D196" t="s">
        <v>6</v>
      </c>
      <c r="E196" t="s">
        <v>5</v>
      </c>
      <c r="F196" t="s">
        <v>6</v>
      </c>
      <c r="G196" t="s">
        <v>5</v>
      </c>
      <c r="H196" t="s">
        <v>6</v>
      </c>
      <c r="I196" t="s">
        <v>0</v>
      </c>
      <c r="J196" t="s">
        <v>3</v>
      </c>
      <c r="K196" t="s">
        <v>4</v>
      </c>
      <c r="L196" t="s">
        <v>5</v>
      </c>
      <c r="M196" t="s">
        <v>6</v>
      </c>
      <c r="N196" t="s">
        <v>7</v>
      </c>
      <c r="O196" t="s">
        <v>5</v>
      </c>
      <c r="P196" t="s">
        <v>6</v>
      </c>
      <c r="Q196" t="s">
        <v>8</v>
      </c>
      <c r="R196" t="s">
        <v>5</v>
      </c>
      <c r="S196" t="s">
        <v>6</v>
      </c>
      <c r="T196" t="s">
        <v>7</v>
      </c>
      <c r="U196" t="s">
        <v>0</v>
      </c>
      <c r="V196" t="s">
        <v>3</v>
      </c>
      <c r="W196" t="s">
        <v>4</v>
      </c>
      <c r="X196" t="s">
        <v>5</v>
      </c>
      <c r="Y196" t="s">
        <v>6</v>
      </c>
      <c r="Z196" t="s">
        <v>7</v>
      </c>
      <c r="AA196" t="s">
        <v>5</v>
      </c>
      <c r="AB196" t="s">
        <v>6</v>
      </c>
      <c r="AC196" t="s">
        <v>7</v>
      </c>
      <c r="AD196" t="s">
        <v>5</v>
      </c>
      <c r="AE196" t="s">
        <v>6</v>
      </c>
      <c r="AF196" t="s">
        <v>7</v>
      </c>
      <c r="AG196" t="s">
        <v>0</v>
      </c>
      <c r="AH196" t="s">
        <v>3</v>
      </c>
      <c r="AI196" t="s">
        <v>4</v>
      </c>
      <c r="AJ196" t="s">
        <v>5</v>
      </c>
      <c r="AK196" t="s">
        <v>6</v>
      </c>
      <c r="AL196" t="s">
        <v>7</v>
      </c>
      <c r="AM196" t="s">
        <v>5</v>
      </c>
      <c r="AN196" t="s">
        <v>6</v>
      </c>
      <c r="AO196" t="s">
        <v>7</v>
      </c>
      <c r="AP196" t="s">
        <v>5</v>
      </c>
      <c r="AQ196" t="s">
        <v>6</v>
      </c>
      <c r="AR196" t="s">
        <v>7</v>
      </c>
      <c r="AS196" t="s">
        <v>0</v>
      </c>
      <c r="AT196" t="s">
        <v>3</v>
      </c>
      <c r="AU196" t="s">
        <v>4</v>
      </c>
      <c r="AV196" t="s">
        <v>5</v>
      </c>
      <c r="AW196" t="s">
        <v>6</v>
      </c>
      <c r="AX196" t="s">
        <v>7</v>
      </c>
      <c r="AY196" t="s">
        <v>5</v>
      </c>
      <c r="AZ196" t="s">
        <v>6</v>
      </c>
      <c r="BA196" t="s">
        <v>7</v>
      </c>
      <c r="BB196" t="s">
        <v>5</v>
      </c>
      <c r="BC196" t="s">
        <v>6</v>
      </c>
      <c r="BD196" t="s">
        <v>7</v>
      </c>
    </row>
    <row r="197" spans="1:56" x14ac:dyDescent="0.2">
      <c r="A197">
        <v>1</v>
      </c>
      <c r="B197">
        <v>7</v>
      </c>
      <c r="C197">
        <v>0.95</v>
      </c>
      <c r="D197">
        <v>0.43</v>
      </c>
      <c r="E197">
        <v>0.95</v>
      </c>
      <c r="F197">
        <v>0.43</v>
      </c>
      <c r="G197">
        <v>0.99</v>
      </c>
      <c r="H197">
        <v>0.99</v>
      </c>
      <c r="J197">
        <v>1</v>
      </c>
      <c r="K197">
        <v>5</v>
      </c>
      <c r="L197">
        <v>0.95399999999999996</v>
      </c>
      <c r="M197">
        <v>0.47</v>
      </c>
      <c r="N197">
        <v>0.90500000000000003</v>
      </c>
      <c r="O197">
        <v>0.95399999999999996</v>
      </c>
      <c r="P197">
        <v>0.47</v>
      </c>
      <c r="Q197">
        <v>0.90500000000000003</v>
      </c>
      <c r="R197">
        <v>0.99</v>
      </c>
      <c r="S197">
        <v>0.99</v>
      </c>
      <c r="T197">
        <v>1</v>
      </c>
      <c r="V197">
        <v>1</v>
      </c>
      <c r="W197">
        <v>5</v>
      </c>
      <c r="X197">
        <v>0.95399999999999996</v>
      </c>
      <c r="Y197">
        <v>0.47</v>
      </c>
      <c r="Z197">
        <v>0.90500000000000003</v>
      </c>
      <c r="AA197">
        <v>0.95399999999999996</v>
      </c>
      <c r="AB197">
        <v>0.47</v>
      </c>
      <c r="AC197">
        <v>0.90500000000000003</v>
      </c>
      <c r="AD197">
        <v>0.99</v>
      </c>
      <c r="AE197">
        <v>0.99</v>
      </c>
      <c r="AF197">
        <v>1</v>
      </c>
      <c r="AH197">
        <v>1</v>
      </c>
      <c r="AI197">
        <v>6</v>
      </c>
      <c r="AJ197">
        <v>0.96899999999999997</v>
      </c>
      <c r="AK197">
        <v>0.56000000000000005</v>
      </c>
      <c r="AL197">
        <v>1</v>
      </c>
      <c r="AP197">
        <v>0.99</v>
      </c>
      <c r="AQ197">
        <v>0.99</v>
      </c>
      <c r="AR197">
        <v>1</v>
      </c>
      <c r="AT197">
        <v>1</v>
      </c>
      <c r="AU197">
        <v>7</v>
      </c>
      <c r="AV197">
        <v>0.95</v>
      </c>
      <c r="AW197">
        <v>0.43</v>
      </c>
      <c r="AX197">
        <v>1</v>
      </c>
      <c r="BB197">
        <v>0.99</v>
      </c>
      <c r="BC197">
        <v>0.99</v>
      </c>
      <c r="BD197">
        <v>1</v>
      </c>
    </row>
    <row r="198" spans="1:56" x14ac:dyDescent="0.2">
      <c r="A198">
        <v>2</v>
      </c>
      <c r="B198">
        <v>6</v>
      </c>
      <c r="C198">
        <v>0.96899999999999997</v>
      </c>
      <c r="D198">
        <v>0.56000000000000005</v>
      </c>
      <c r="E198">
        <v>0.95099999999999996</v>
      </c>
      <c r="F198">
        <v>0.37</v>
      </c>
      <c r="G198">
        <v>0.64</v>
      </c>
      <c r="H198">
        <v>0.64</v>
      </c>
      <c r="J198">
        <v>2</v>
      </c>
      <c r="K198">
        <v>4</v>
      </c>
      <c r="L198">
        <v>0.92100000000000004</v>
      </c>
      <c r="M198">
        <v>0.06</v>
      </c>
      <c r="N198">
        <v>0.90500000000000003</v>
      </c>
      <c r="O198">
        <v>0.91500000000000004</v>
      </c>
      <c r="P198">
        <v>0.06</v>
      </c>
      <c r="Q198">
        <v>0.90500000000000003</v>
      </c>
      <c r="R198">
        <v>0.09</v>
      </c>
      <c r="S198">
        <v>0.09</v>
      </c>
      <c r="T198">
        <v>0</v>
      </c>
      <c r="V198">
        <v>2</v>
      </c>
      <c r="W198">
        <v>6</v>
      </c>
      <c r="X198">
        <v>0.96899999999999997</v>
      </c>
      <c r="Y198">
        <v>0.56000000000000005</v>
      </c>
      <c r="Z198">
        <v>1</v>
      </c>
      <c r="AA198">
        <v>0.95099999999999996</v>
      </c>
      <c r="AB198">
        <v>0.37</v>
      </c>
      <c r="AC198">
        <v>1</v>
      </c>
      <c r="AD198">
        <v>0.64</v>
      </c>
      <c r="AE198">
        <v>0.64</v>
      </c>
      <c r="AF198">
        <v>1</v>
      </c>
      <c r="AT198">
        <v>2</v>
      </c>
      <c r="AU198">
        <v>6</v>
      </c>
      <c r="AV198">
        <v>0.96899999999999997</v>
      </c>
      <c r="AW198">
        <v>0.56000000000000005</v>
      </c>
      <c r="AX198">
        <v>1</v>
      </c>
      <c r="AY198">
        <v>0.95099999999999996</v>
      </c>
      <c r="AZ198">
        <v>0.37</v>
      </c>
      <c r="BA198">
        <v>1</v>
      </c>
      <c r="BB198">
        <v>0.64</v>
      </c>
      <c r="BC198">
        <v>0.64</v>
      </c>
      <c r="BD198">
        <v>1</v>
      </c>
    </row>
    <row r="199" spans="1:56" x14ac:dyDescent="0.2">
      <c r="A199">
        <v>3</v>
      </c>
      <c r="B199">
        <v>5</v>
      </c>
      <c r="C199">
        <v>0.94899999999999995</v>
      </c>
      <c r="D199">
        <v>0.25</v>
      </c>
      <c r="E199">
        <v>0.94899999999999995</v>
      </c>
      <c r="F199">
        <v>0.25</v>
      </c>
      <c r="G199">
        <v>0.03</v>
      </c>
      <c r="H199">
        <v>0.03</v>
      </c>
      <c r="J199">
        <v>3</v>
      </c>
      <c r="K199">
        <v>4</v>
      </c>
      <c r="L199">
        <v>0.95099999999999996</v>
      </c>
      <c r="M199">
        <v>0.5</v>
      </c>
      <c r="N199">
        <v>0.95199999999999996</v>
      </c>
      <c r="O199">
        <v>0.95099999999999996</v>
      </c>
      <c r="P199">
        <v>0.5</v>
      </c>
      <c r="Q199">
        <v>0.95199999999999996</v>
      </c>
      <c r="R199">
        <v>0.5</v>
      </c>
      <c r="S199">
        <v>0.5</v>
      </c>
      <c r="T199">
        <v>0</v>
      </c>
      <c r="V199">
        <v>3</v>
      </c>
      <c r="W199">
        <v>4</v>
      </c>
      <c r="X199">
        <v>0.95099999999999996</v>
      </c>
      <c r="Y199">
        <v>0.5</v>
      </c>
      <c r="Z199">
        <v>0.95199999999999996</v>
      </c>
      <c r="AA199">
        <v>0.95099999999999996</v>
      </c>
      <c r="AB199">
        <v>0.5</v>
      </c>
      <c r="AC199">
        <v>0.95199999999999996</v>
      </c>
      <c r="AD199">
        <v>0.5</v>
      </c>
      <c r="AE199">
        <v>0.5</v>
      </c>
      <c r="AF199">
        <v>0</v>
      </c>
      <c r="AT199">
        <v>3</v>
      </c>
      <c r="AU199">
        <v>4</v>
      </c>
      <c r="AV199">
        <v>0.95099999999999996</v>
      </c>
      <c r="AW199">
        <v>0.5</v>
      </c>
      <c r="AX199">
        <v>0.95199999999999996</v>
      </c>
      <c r="AY199">
        <v>0.95099999999999996</v>
      </c>
      <c r="AZ199">
        <v>0.5</v>
      </c>
      <c r="BA199">
        <v>0.95199999999999996</v>
      </c>
      <c r="BB199">
        <v>0.5</v>
      </c>
      <c r="BC199">
        <v>0.5</v>
      </c>
      <c r="BD199">
        <v>0</v>
      </c>
    </row>
    <row r="200" spans="1:56" x14ac:dyDescent="0.2">
      <c r="A200">
        <v>4</v>
      </c>
      <c r="B200">
        <v>4</v>
      </c>
      <c r="C200">
        <v>0.67400000000000004</v>
      </c>
      <c r="D200">
        <v>0.05</v>
      </c>
      <c r="E200">
        <v>0.67400000000000004</v>
      </c>
      <c r="F200">
        <v>0.05</v>
      </c>
      <c r="G200">
        <v>0.03</v>
      </c>
      <c r="H200">
        <v>0.03</v>
      </c>
    </row>
    <row r="202" spans="1:56" x14ac:dyDescent="0.2">
      <c r="A202">
        <f>A203</f>
        <v>67</v>
      </c>
      <c r="B202">
        <f>B203</f>
        <v>34</v>
      </c>
    </row>
    <row r="203" spans="1:56" x14ac:dyDescent="0.2">
      <c r="A203">
        <f>A195+A185+A155+A146+A136+A126+A117+A97+A88+A77+A66+A56+A47+A36+A25+A15+A4+A175+A164+A107</f>
        <v>67</v>
      </c>
      <c r="B203">
        <f>B195+B185+B155+B146+B136+B126+B117+B97+B88+B77+B66+B56+B47+B36+B25+B15+B4+B175+B164+B107</f>
        <v>34</v>
      </c>
      <c r="J203">
        <f>J195+J185+J155+J146+J136+J126+J117+J97+J88+J77+J66+J56+J47+J36+J25+J15+J4+J175+J164+J107</f>
        <v>64</v>
      </c>
      <c r="K203">
        <f>K195+K185+K155+K146+K136+K126+K117+K97+K88+K77+K66+K56+K47+K36+K25+K15+K4+K175+K164+K107</f>
        <v>18</v>
      </c>
      <c r="M203">
        <f>M195+M185+M155+M146+M136+M126+M117+M97+M88+M77+M66+M56+M47+M36+M25+M15+M4+M175+M164+M107</f>
        <v>4</v>
      </c>
      <c r="N203">
        <f>N195+N185+N155+N146+N136+N126+N117+N97+N88+N77+N66+N56+N47+N36+N25+N15+N4+N175+N164+N107</f>
        <v>37</v>
      </c>
      <c r="O203">
        <f>O195+O185+O155+O146+O136+O126+O117+O97+O88+O77+O66+O56+O47+O36+O25+O15+O4+O175+O164+O107</f>
        <v>64</v>
      </c>
      <c r="P203">
        <f>P195+P185+P155+P146+P136+P126+P117+P97+P88+P77+P66+P56+P47+P36+P25+P15+P4+P175+P164+P107</f>
        <v>3</v>
      </c>
      <c r="Q203">
        <f>Q195+Q185+Q155+Q146+Q136+Q126+Q117+Q97+Q88+Q77+Q66+Q56+Q47+Q36+Q25+Q15+Q4+Q175+Q164+Q107</f>
        <v>37</v>
      </c>
      <c r="S203">
        <f>S195+S185+S155+S146+S136+S126+S117+S97+S88+S77+S66+S56+S47+S36+S25+S15+S4+S175+S164+S107</f>
        <v>10</v>
      </c>
      <c r="T203">
        <f>T195+T185+T155+T146+T136+T126+T117+T97+T88+T77+T66+T56+T47+T36+T25+T15+T4+T175+T164+T107</f>
        <v>17</v>
      </c>
      <c r="V203">
        <f>V195+V185+V155+V146+V136+V126+V117+V97+V88+V77+V66+V56+V47+V36+V25+V15+V4+V175+V164+V107</f>
        <v>65</v>
      </c>
      <c r="W203">
        <f>W195+W185+W155+W146+W136+W126+W117+W97+W88+W77+W66+W56+W47+W36+W25+W15+W4+W175+W164+W107</f>
        <v>21</v>
      </c>
      <c r="Y203">
        <f>Y195+Y185+Y155+Y146+Y136+Y126+Y117+Y97+Y88+Y77+Y66+Y56+Y47+Y36+Y25+Y15+Y4+Y175+Y164+Y107</f>
        <v>4</v>
      </c>
      <c r="Z203">
        <f>Z195+Z185+Z155+Z146+Z136+Z126+Z117+Z97+Z88+Z77+Z66+Z56+Z47+Z36+Z25+Z15+Z4+Z175+Z164+Z107</f>
        <v>40</v>
      </c>
      <c r="AA203">
        <f>AA195+AA185+AA155+AA146+AA136+AA126+AA117+AA97+AA88+AA77+AA66+AA56+AA47+AA36+AA25+AA15+AA4+AA175+AA164+AA107</f>
        <v>65</v>
      </c>
      <c r="AB203">
        <f>AB195+AB185+AB155+AB146+AB136+AB126+AB117+AB97+AB88+AB77+AB66+AB56+AB47+AB36+AB25+AB15+AB4+AB175+AB164+AB107</f>
        <v>3</v>
      </c>
      <c r="AC203">
        <f>AC195+AC185+AC155+AC146+AC136+AC126+AC117+AC97+AC88+AC77+AC66+AC56+AC47+AC36+AC25+AC15+AC4+AC175+AC164+AC107</f>
        <v>40</v>
      </c>
      <c r="AE203">
        <f>AE195+AE185+AE155+AE146+AE136+AE126+AE117+AE97+AE88+AE77+AE66+AE56+AE47+AE36+AE25+AE15+AE4+AE175+AE164+AE107</f>
        <v>10</v>
      </c>
      <c r="AF203">
        <f>AF195+AF185+AF155+AF146+AF136+AF126+AF117+AF97+AF88+AF77+AF66+AF56+AF47+AF36+AF25+AF15+AF4+AF175+AF164+AF107</f>
        <v>20</v>
      </c>
      <c r="AH203">
        <f>AH195+AH185+AH155+AH146+AH136+AH126+AH117+AH97+AH88+AH77+AH66+AH56+AH47+AH36+AH25+AH15+AH4+AH175+AH164+AH107</f>
        <v>42</v>
      </c>
      <c r="AI203">
        <f>AI195+AI185+AI155+AI146+AI136+AI126+AI117+AI97+AI88+AI77+AI66+AI56+AI47+AI36+AI25+AI15+AI4+AI175+AI164+AI107</f>
        <v>18</v>
      </c>
      <c r="AK203">
        <f>AK195+AK185+AK155+AK146+AK136+AK126+AK117+AK97+AK88+AK77+AK66+AK56+AK47+AK36+AK25+AK15+AK4+AK175+AK164+AK107</f>
        <v>3</v>
      </c>
      <c r="AL203">
        <f>AL195+AL185+AL155+AL146+AL136+AL126+AL117+AL97+AL88+AL77+AL66+AL56+AL47+AL36+AL25+AL15+AL4+AL175+AL164+AL107</f>
        <v>30</v>
      </c>
      <c r="AM203">
        <f>AM195+AM185+AM155+AM146+AM136+AM126+AM117+AM97+AM88+AM77+AM66+AM56+AM47+AM36+AM25+AM15+AM4+AM175+AM164+AM107</f>
        <v>36</v>
      </c>
      <c r="AN203">
        <f>AN195+AN185+AN155+AN146+AN136+AN126+AN117+AN97+AN88+AN77+AN66+AN56+AN47+AN36+AN25+AN15+AN4+AN175+AN164+AN107</f>
        <v>2</v>
      </c>
      <c r="AO203">
        <f>AO195+AO185+AO155+AO146+AO136+AO126+AO117+AO97+AO88+AO77+AO66+AO56+AO47+AO36+AO25+AO15+AO4+AO175+AO164+AO107</f>
        <v>25</v>
      </c>
      <c r="AQ203">
        <f>AQ195+AQ185+AQ155+AQ146+AQ136+AQ126+AQ117+AQ97+AQ88+AQ77+AQ66+AQ56+AQ47+AQ36+AQ25+AQ15+AQ4+AQ175+AQ164+AQ107</f>
        <v>10</v>
      </c>
      <c r="AR203">
        <f>AR195+AR185+AR155+AR146+AR136+AR126+AR117+AR97+AR88+AR77+AR66+AR56+AR47+AR36+AR25+AR15+AR4+AR175+AR164+AR107</f>
        <v>18</v>
      </c>
      <c r="AT203">
        <f>AT195+AT185+AT155+AT146+AT136+AT126+AT117+AT97+AT88+AT77+AT66+AT56+AT47+AT36+AT25+AT15+AT4+AT175+AT164+AT107</f>
        <v>36</v>
      </c>
      <c r="AU203">
        <f>AU195+AU185+AU155+AU146+AU136+AU126+AU117+AU97+AU88+AU77+AU66+AU56+AU47+AU36+AU25+AU15+AU4+AU175+AU164+AU107</f>
        <v>22</v>
      </c>
      <c r="AW203">
        <f>AW195+AW185+AW155+AW146+AW136+AW126+AW117+AW97+AW88+AW77+AW66+AW56+AW47+AW36+AW25+AW15+AW4+AW175+AW164+AW107</f>
        <v>3</v>
      </c>
      <c r="AX203">
        <f>AX195+AX185+AX155+AX146+AX136+AX126+AX117+AX97+AX88+AX77+AX66+AX56+AX47+AX36+AX25+AX15+AX4+AX175+AX164+AX107</f>
        <v>24</v>
      </c>
      <c r="AY203">
        <f>AY195+AY185+AY155+AY146+AY136+AY126+AY117+AY97+AY88+AY77+AY66+AY56+AY47+AY36+AY25+AY15+AY4+AY175+AY164+AY107</f>
        <v>33</v>
      </c>
      <c r="AZ203">
        <f>AZ195+AZ185+AZ155+AZ146+AZ136+AZ126+AZ117+AZ97+AZ88+AZ77+AZ66+AZ56+AZ47+AZ36+AZ25+AZ15+AZ4+AZ175+AZ164+AZ107</f>
        <v>3</v>
      </c>
      <c r="BA203">
        <f>BA195+BA185+BA155+BA146+BA136+BA126+BA117+BA97+BA88+BA77+BA66+BA56+BA47+BA36+BA25+BA15+BA4+BA175+BA164+BA107</f>
        <v>22</v>
      </c>
      <c r="BC203">
        <f>BC195+BC185+BC155+BC146+BC136+BC126+BC117+BC97+BC88+BC77+BC66+BC56+BC47+BC36+BC25+BC15+BC4+BC175+BC164+BC107</f>
        <v>9</v>
      </c>
      <c r="BD203">
        <f>BD195+BD185+BD155+BD146+BD136+BD126+BD117+BD97+BD88+BD77+BD66+BD56+BD47+BD36+BD25+BD15+BD4+BD175+BD164+BD107</f>
        <v>21</v>
      </c>
    </row>
    <row r="205" spans="1:56" x14ac:dyDescent="0.2">
      <c r="N205" s="1">
        <f>N203/J203</f>
        <v>0.578125</v>
      </c>
      <c r="Q205" s="1">
        <f>Q203/J203</f>
        <v>0.578125</v>
      </c>
      <c r="T205" s="1">
        <f>T203/K203</f>
        <v>0.94444444444444442</v>
      </c>
      <c r="Z205" s="1">
        <f>Z203/V203</f>
        <v>0.61538461538461542</v>
      </c>
      <c r="AC205" s="1">
        <f>AC203/V203</f>
        <v>0.61538461538461542</v>
      </c>
      <c r="AF205" s="1">
        <f>AF203/W203</f>
        <v>0.95238095238095233</v>
      </c>
      <c r="AL205" s="1">
        <f>AL203/AH203</f>
        <v>0.7142857142857143</v>
      </c>
      <c r="AO205" s="1">
        <f>AO203/AH203</f>
        <v>0.59523809523809523</v>
      </c>
      <c r="AR205" s="1">
        <f>AR203/AI203</f>
        <v>1</v>
      </c>
      <c r="AX205" s="1">
        <f>AX203/AT203</f>
        <v>0.66666666666666663</v>
      </c>
      <c r="BA205" s="1">
        <f>BA203/AT203</f>
        <v>0.61111111111111116</v>
      </c>
      <c r="BD205" s="1">
        <f>BD203/AU203</f>
        <v>0.95454545454545459</v>
      </c>
    </row>
    <row r="206" spans="1:56" x14ac:dyDescent="0.2">
      <c r="N206" s="1">
        <f>N203/$A$202</f>
        <v>0.55223880597014929</v>
      </c>
      <c r="Q206" s="1">
        <f>Q203/$A$202</f>
        <v>0.55223880597014929</v>
      </c>
      <c r="T206" s="1">
        <f>T203/$B$202</f>
        <v>0.5</v>
      </c>
      <c r="Z206" s="1">
        <f>Z203/$A$202</f>
        <v>0.59701492537313428</v>
      </c>
      <c r="AC206" s="1">
        <f>AC203/$A$202</f>
        <v>0.59701492537313428</v>
      </c>
      <c r="AF206" s="1">
        <f>AF203/$B$202</f>
        <v>0.58823529411764708</v>
      </c>
      <c r="AL206" s="1">
        <f>AL203/$A$202</f>
        <v>0.44776119402985076</v>
      </c>
      <c r="AO206" s="1">
        <f>AO203/$A$202</f>
        <v>0.37313432835820898</v>
      </c>
      <c r="AR206" s="1">
        <f>AR203/$B$202</f>
        <v>0.52941176470588236</v>
      </c>
      <c r="AX206" s="1">
        <f>AX203/$A$202</f>
        <v>0.35820895522388058</v>
      </c>
      <c r="BA206" s="1">
        <f>BA203/$A$202</f>
        <v>0.32835820895522388</v>
      </c>
      <c r="BD206" s="1">
        <f>BD203/$B$202</f>
        <v>0.61764705882352944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006512736</dc:creator>
  <cp:lastModifiedBy>Hector Banos Cervantes</cp:lastModifiedBy>
  <dcterms:created xsi:type="dcterms:W3CDTF">2026-07-06T19:40:36Z</dcterms:created>
  <dcterms:modified xsi:type="dcterms:W3CDTF">2026-07-06T20:08:32Z</dcterms:modified>
</cp:coreProperties>
</file>