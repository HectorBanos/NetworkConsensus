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https://csusanbernardino-my.sharepoint.com/personal/006512736_csusb_edu/Documents/Documents/ToBolivier/R/Pipeline/CleanPipeline-thirdv2/sim_out/"/>
    </mc:Choice>
  </mc:AlternateContent>
  <xr:revisionPtr revIDLastSave="1" documentId="11_C3CE303C1DE1E32A75F5BAAE5A4B8EAE989621C9" xr6:coauthVersionLast="47" xr6:coauthVersionMax="47" xr10:uidLastSave="{48796794-EF17-D941-A417-BB2D9DDADA99}"/>
  <bookViews>
    <workbookView xWindow="-38400" yWindow="600" windowWidth="38400" windowHeight="21000" xr2:uid="{00000000-000D-0000-FFFF-FFFF00000000}"/>
  </bookViews>
  <sheets>
    <sheet name="Matri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00" i="1" l="1"/>
  <c r="AC199" i="1"/>
  <c r="AF197" i="1"/>
  <c r="AF200" i="1" s="1"/>
  <c r="AE197" i="1"/>
  <c r="AD197" i="1"/>
  <c r="AC197" i="1"/>
  <c r="AC200" i="1" s="1"/>
  <c r="AA197" i="1"/>
  <c r="Z197" i="1"/>
  <c r="Y197" i="1"/>
  <c r="W197" i="1"/>
  <c r="AF199" i="1" s="1"/>
  <c r="V197" i="1"/>
  <c r="Z199" i="1" s="1"/>
  <c r="R197" i="1"/>
  <c r="Q197" i="1"/>
  <c r="B205" i="1"/>
  <c r="A205" i="1"/>
  <c r="T200" i="1"/>
  <c r="Q200" i="1"/>
  <c r="N200" i="1"/>
  <c r="T199" i="1"/>
  <c r="Q199" i="1"/>
  <c r="N199" i="1"/>
  <c r="T197" i="1"/>
  <c r="S197" i="1"/>
  <c r="O197" i="1"/>
  <c r="N197" i="1"/>
  <c r="M197" i="1"/>
  <c r="K197" i="1"/>
  <c r="J197" i="1"/>
  <c r="B197" i="1"/>
  <c r="A197" i="1"/>
  <c r="AF4" i="1"/>
  <c r="AE4" i="1"/>
  <c r="AC4" i="1"/>
  <c r="AB4" i="1"/>
  <c r="AA4" i="1"/>
  <c r="Z4" i="1"/>
  <c r="Y4" i="1"/>
  <c r="W4" i="1"/>
  <c r="V4" i="1"/>
  <c r="T4" i="1"/>
  <c r="S4" i="1"/>
  <c r="Q4" i="1"/>
  <c r="P4" i="1"/>
  <c r="O4" i="1"/>
  <c r="N4" i="1"/>
  <c r="M4" i="1"/>
  <c r="K4" i="1"/>
  <c r="J4" i="1"/>
  <c r="B4" i="1"/>
  <c r="A4" i="1"/>
  <c r="AF14" i="1"/>
  <c r="AE14" i="1"/>
  <c r="AC14" i="1"/>
  <c r="AB14" i="1"/>
  <c r="AA14" i="1"/>
  <c r="Z14" i="1"/>
  <c r="Y14" i="1"/>
  <c r="W14" i="1"/>
  <c r="V14" i="1"/>
  <c r="T14" i="1"/>
  <c r="S14" i="1"/>
  <c r="Q14" i="1"/>
  <c r="P14" i="1"/>
  <c r="O14" i="1"/>
  <c r="N14" i="1"/>
  <c r="M14" i="1"/>
  <c r="K14" i="1"/>
  <c r="J14" i="1"/>
  <c r="B14" i="1"/>
  <c r="A14" i="1"/>
  <c r="AF24" i="1"/>
  <c r="AE24" i="1"/>
  <c r="AC24" i="1"/>
  <c r="AB24" i="1"/>
  <c r="AA24" i="1"/>
  <c r="Z24" i="1"/>
  <c r="Y24" i="1"/>
  <c r="W24" i="1"/>
  <c r="V24" i="1"/>
  <c r="T24" i="1"/>
  <c r="S24" i="1"/>
  <c r="Q24" i="1"/>
  <c r="P24" i="1"/>
  <c r="O24" i="1"/>
  <c r="N24" i="1"/>
  <c r="M24" i="1"/>
  <c r="K24" i="1"/>
  <c r="J24" i="1"/>
  <c r="B24" i="1"/>
  <c r="A24" i="1"/>
  <c r="AF35" i="1"/>
  <c r="AE35" i="1"/>
  <c r="AC35" i="1"/>
  <c r="AB35" i="1"/>
  <c r="AA35" i="1"/>
  <c r="Z35" i="1"/>
  <c r="Y35" i="1"/>
  <c r="W35" i="1"/>
  <c r="V35" i="1"/>
  <c r="T35" i="1"/>
  <c r="S35" i="1"/>
  <c r="Q35" i="1"/>
  <c r="P35" i="1"/>
  <c r="O35" i="1"/>
  <c r="N35" i="1"/>
  <c r="M35" i="1"/>
  <c r="K35" i="1"/>
  <c r="J35" i="1"/>
  <c r="B35" i="1"/>
  <c r="A35" i="1"/>
  <c r="AF45" i="1"/>
  <c r="AE45" i="1"/>
  <c r="AC45" i="1"/>
  <c r="AB45" i="1"/>
  <c r="AA45" i="1"/>
  <c r="Z45" i="1"/>
  <c r="Y45" i="1"/>
  <c r="W45" i="1"/>
  <c r="V45" i="1"/>
  <c r="T45" i="1"/>
  <c r="S45" i="1"/>
  <c r="Q45" i="1"/>
  <c r="P45" i="1"/>
  <c r="O45" i="1"/>
  <c r="N45" i="1"/>
  <c r="M45" i="1"/>
  <c r="K45" i="1"/>
  <c r="J45" i="1"/>
  <c r="B45" i="1"/>
  <c r="A45" i="1"/>
  <c r="AF54" i="1"/>
  <c r="AE54" i="1"/>
  <c r="AC54" i="1"/>
  <c r="AB54" i="1"/>
  <c r="AA54" i="1"/>
  <c r="Z54" i="1"/>
  <c r="Y54" i="1"/>
  <c r="W54" i="1"/>
  <c r="V54" i="1"/>
  <c r="T54" i="1"/>
  <c r="S54" i="1"/>
  <c r="Q54" i="1"/>
  <c r="P54" i="1"/>
  <c r="O54" i="1"/>
  <c r="N54" i="1"/>
  <c r="M54" i="1"/>
  <c r="K54" i="1"/>
  <c r="J54" i="1"/>
  <c r="B54" i="1"/>
  <c r="A54" i="1"/>
  <c r="AF63" i="1"/>
  <c r="AE63" i="1"/>
  <c r="AC63" i="1"/>
  <c r="AB63" i="1"/>
  <c r="AA63" i="1"/>
  <c r="Z63" i="1"/>
  <c r="Y63" i="1"/>
  <c r="W63" i="1"/>
  <c r="V63" i="1"/>
  <c r="T63" i="1"/>
  <c r="S63" i="1"/>
  <c r="Q63" i="1"/>
  <c r="P63" i="1"/>
  <c r="O63" i="1"/>
  <c r="N63" i="1"/>
  <c r="M63" i="1"/>
  <c r="K63" i="1"/>
  <c r="J63" i="1"/>
  <c r="B63" i="1"/>
  <c r="A63" i="1"/>
  <c r="AF73" i="1"/>
  <c r="AE73" i="1"/>
  <c r="AC73" i="1"/>
  <c r="AB73" i="1"/>
  <c r="AA73" i="1"/>
  <c r="Z73" i="1"/>
  <c r="Y73" i="1"/>
  <c r="W73" i="1"/>
  <c r="V73" i="1"/>
  <c r="T73" i="1"/>
  <c r="S73" i="1"/>
  <c r="Q73" i="1"/>
  <c r="P73" i="1"/>
  <c r="O73" i="1"/>
  <c r="N73" i="1"/>
  <c r="M73" i="1"/>
  <c r="K73" i="1"/>
  <c r="J73" i="1"/>
  <c r="B73" i="1"/>
  <c r="A73" i="1"/>
  <c r="AF84" i="1"/>
  <c r="AE84" i="1"/>
  <c r="AC84" i="1"/>
  <c r="AB84" i="1"/>
  <c r="AA84" i="1"/>
  <c r="Z84" i="1"/>
  <c r="Y84" i="1"/>
  <c r="W84" i="1"/>
  <c r="V84" i="1"/>
  <c r="T84" i="1"/>
  <c r="S84" i="1"/>
  <c r="Q84" i="1"/>
  <c r="P84" i="1"/>
  <c r="O84" i="1"/>
  <c r="N84" i="1"/>
  <c r="M84" i="1"/>
  <c r="K84" i="1"/>
  <c r="J84" i="1"/>
  <c r="B84" i="1"/>
  <c r="A84" i="1"/>
  <c r="AF93" i="1"/>
  <c r="AE93" i="1"/>
  <c r="AC93" i="1"/>
  <c r="AB93" i="1"/>
  <c r="AA93" i="1"/>
  <c r="Z93" i="1"/>
  <c r="Y93" i="1"/>
  <c r="W93" i="1"/>
  <c r="V93" i="1"/>
  <c r="T93" i="1"/>
  <c r="S93" i="1"/>
  <c r="Q93" i="1"/>
  <c r="P93" i="1"/>
  <c r="O93" i="1"/>
  <c r="N93" i="1"/>
  <c r="M93" i="1"/>
  <c r="K93" i="1"/>
  <c r="J93" i="1"/>
  <c r="B93" i="1"/>
  <c r="A93" i="1"/>
  <c r="AF103" i="1"/>
  <c r="AE103" i="1"/>
  <c r="AC103" i="1"/>
  <c r="AB103" i="1"/>
  <c r="AA103" i="1"/>
  <c r="Z103" i="1"/>
  <c r="Y103" i="1"/>
  <c r="W103" i="1"/>
  <c r="V103" i="1"/>
  <c r="T103" i="1"/>
  <c r="S103" i="1"/>
  <c r="Q103" i="1"/>
  <c r="P103" i="1"/>
  <c r="O103" i="1"/>
  <c r="N103" i="1"/>
  <c r="M103" i="1"/>
  <c r="K103" i="1"/>
  <c r="J103" i="1"/>
  <c r="B103" i="1"/>
  <c r="A103" i="1"/>
  <c r="AF113" i="1"/>
  <c r="AE113" i="1"/>
  <c r="AC113" i="1"/>
  <c r="AB113" i="1"/>
  <c r="AA113" i="1"/>
  <c r="Z113" i="1"/>
  <c r="Y113" i="1"/>
  <c r="W113" i="1"/>
  <c r="V113" i="1"/>
  <c r="T113" i="1"/>
  <c r="S113" i="1"/>
  <c r="Q113" i="1"/>
  <c r="P113" i="1"/>
  <c r="O113" i="1"/>
  <c r="N113" i="1"/>
  <c r="M113" i="1"/>
  <c r="K113" i="1"/>
  <c r="J113" i="1"/>
  <c r="B113" i="1"/>
  <c r="A113" i="1"/>
  <c r="AF122" i="1"/>
  <c r="AE122" i="1"/>
  <c r="AC122" i="1"/>
  <c r="AB122" i="1"/>
  <c r="AA122" i="1"/>
  <c r="Z122" i="1"/>
  <c r="Y122" i="1"/>
  <c r="W122" i="1"/>
  <c r="V122" i="1"/>
  <c r="T122" i="1"/>
  <c r="S122" i="1"/>
  <c r="Q122" i="1"/>
  <c r="P122" i="1"/>
  <c r="O122" i="1"/>
  <c r="N122" i="1"/>
  <c r="M122" i="1"/>
  <c r="K122" i="1"/>
  <c r="J122" i="1"/>
  <c r="B122" i="1"/>
  <c r="A122" i="1"/>
  <c r="AF132" i="1"/>
  <c r="AE132" i="1"/>
  <c r="AC132" i="1"/>
  <c r="AB132" i="1"/>
  <c r="AA132" i="1"/>
  <c r="Z132" i="1"/>
  <c r="Y132" i="1"/>
  <c r="W132" i="1"/>
  <c r="V132" i="1"/>
  <c r="T132" i="1"/>
  <c r="S132" i="1"/>
  <c r="Q132" i="1"/>
  <c r="P132" i="1"/>
  <c r="O132" i="1"/>
  <c r="N132" i="1"/>
  <c r="M132" i="1"/>
  <c r="K132" i="1"/>
  <c r="J132" i="1"/>
  <c r="B132" i="1"/>
  <c r="A132" i="1"/>
  <c r="AF142" i="1"/>
  <c r="AE142" i="1"/>
  <c r="AC142" i="1"/>
  <c r="AB142" i="1"/>
  <c r="AA142" i="1"/>
  <c r="Z142" i="1"/>
  <c r="Y142" i="1"/>
  <c r="W142" i="1"/>
  <c r="V142" i="1"/>
  <c r="T142" i="1"/>
  <c r="S142" i="1"/>
  <c r="Q142" i="1"/>
  <c r="P142" i="1"/>
  <c r="O142" i="1"/>
  <c r="N142" i="1"/>
  <c r="M142" i="1"/>
  <c r="K142" i="1"/>
  <c r="J142" i="1"/>
  <c r="B142" i="1"/>
  <c r="A142" i="1"/>
  <c r="AF151" i="1"/>
  <c r="AE151" i="1"/>
  <c r="AC151" i="1"/>
  <c r="AB151" i="1"/>
  <c r="AA151" i="1"/>
  <c r="Z151" i="1"/>
  <c r="Y151" i="1"/>
  <c r="W151" i="1"/>
  <c r="V151" i="1"/>
  <c r="T151" i="1"/>
  <c r="S151" i="1"/>
  <c r="Q151" i="1"/>
  <c r="P151" i="1"/>
  <c r="O151" i="1"/>
  <c r="N151" i="1"/>
  <c r="M151" i="1"/>
  <c r="K151" i="1"/>
  <c r="J151" i="1"/>
  <c r="B151" i="1"/>
  <c r="A151" i="1"/>
  <c r="AF159" i="1"/>
  <c r="AE159" i="1"/>
  <c r="AC159" i="1"/>
  <c r="AB159" i="1"/>
  <c r="AA159" i="1"/>
  <c r="Z159" i="1"/>
  <c r="Y159" i="1"/>
  <c r="W159" i="1"/>
  <c r="V159" i="1"/>
  <c r="T159" i="1"/>
  <c r="S159" i="1"/>
  <c r="Q159" i="1"/>
  <c r="P159" i="1"/>
  <c r="O159" i="1"/>
  <c r="N159" i="1"/>
  <c r="M159" i="1"/>
  <c r="K159" i="1"/>
  <c r="J159" i="1"/>
  <c r="B159" i="1"/>
  <c r="A159" i="1"/>
  <c r="AF169" i="1"/>
  <c r="AE169" i="1"/>
  <c r="AC169" i="1"/>
  <c r="AB169" i="1"/>
  <c r="AA169" i="1"/>
  <c r="Z169" i="1"/>
  <c r="Y169" i="1"/>
  <c r="W169" i="1"/>
  <c r="V169" i="1"/>
  <c r="T169" i="1"/>
  <c r="S169" i="1"/>
  <c r="Q169" i="1"/>
  <c r="P169" i="1"/>
  <c r="O169" i="1"/>
  <c r="N169" i="1"/>
  <c r="M169" i="1"/>
  <c r="K169" i="1"/>
  <c r="J169" i="1"/>
  <c r="B169" i="1"/>
  <c r="A169" i="1"/>
  <c r="AF179" i="1"/>
  <c r="AE179" i="1"/>
  <c r="AC179" i="1"/>
  <c r="AB179" i="1"/>
  <c r="AA179" i="1"/>
  <c r="Z179" i="1"/>
  <c r="Y179" i="1"/>
  <c r="W179" i="1"/>
  <c r="V179" i="1"/>
  <c r="T179" i="1"/>
  <c r="S179" i="1"/>
  <c r="Q179" i="1"/>
  <c r="P179" i="1"/>
  <c r="O179" i="1"/>
  <c r="N179" i="1"/>
  <c r="M179" i="1"/>
  <c r="K179" i="1"/>
  <c r="J179" i="1"/>
  <c r="B179" i="1"/>
  <c r="A179" i="1"/>
  <c r="AF189" i="1"/>
  <c r="AE189" i="1"/>
  <c r="AC189" i="1"/>
  <c r="AB189" i="1"/>
  <c r="AA189" i="1"/>
  <c r="Z189" i="1"/>
  <c r="Y189" i="1"/>
  <c r="W189" i="1"/>
  <c r="V189" i="1"/>
  <c r="T189" i="1"/>
  <c r="S189" i="1"/>
  <c r="Q189" i="1"/>
  <c r="P189" i="1"/>
  <c r="O189" i="1"/>
  <c r="N189" i="1"/>
  <c r="M189" i="1"/>
  <c r="K189" i="1"/>
  <c r="J189" i="1"/>
  <c r="B189" i="1"/>
  <c r="A189" i="1"/>
</calcChain>
</file>

<file path=xl/sharedStrings.xml><?xml version="1.0" encoding="utf-8"?>
<sst xmlns="http://schemas.openxmlformats.org/spreadsheetml/2006/main" count="780" uniqueCount="10">
  <si>
    <t/>
  </si>
  <si>
    <t>Circular ord</t>
  </si>
  <si>
    <t>Hybrid</t>
  </si>
  <si>
    <t>Network</t>
  </si>
  <si>
    <t>Blob size</t>
  </si>
  <si>
    <t>TS</t>
  </si>
  <si>
    <t>BP</t>
  </si>
  <si>
    <t>TS vs True Tob</t>
  </si>
  <si>
    <t>TS vs True Net</t>
  </si>
  <si>
    <t>Network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</si>
</sst>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AF205"/>
  <sheetViews>
    <sheetView tabSelected="1" topLeftCell="H168" workbookViewId="0">
      <selection activeCell="Z191" sqref="Z191"/>
    </sheetView>
  </sheetViews>
  <sheetFormatPr baseColWidth="10" defaultRowHeight="15" x14ac:dyDescent="0.2"/>
  <sheetData>
    <row r="4" spans="1:32" x14ac:dyDescent="0.2">
      <c r="A4">
        <f>COUNT(A6:A10)</f>
        <v>4</v>
      </c>
      <c r="B4">
        <f>COUNTIF(B6:B10,"&gt;4")</f>
        <v>1</v>
      </c>
      <c r="D4" t="s">
        <v>0</v>
      </c>
      <c r="E4" t="s">
        <v>1</v>
      </c>
      <c r="F4" t="s">
        <v>0</v>
      </c>
      <c r="G4" t="s">
        <v>2</v>
      </c>
      <c r="H4" t="s">
        <v>0</v>
      </c>
      <c r="I4" t="s">
        <v>0</v>
      </c>
      <c r="J4">
        <f>COUNT(J6:J10)</f>
        <v>3</v>
      </c>
      <c r="K4">
        <f>COUNTIF(K6:K10,"&gt;4")</f>
        <v>1</v>
      </c>
      <c r="M4">
        <f>COUNTIF(M6:M10,1)</f>
        <v>0</v>
      </c>
      <c r="N4">
        <f>COUNTIF(N6:N10,1)</f>
        <v>3</v>
      </c>
      <c r="O4">
        <f>COUNTIF(O6:O10,"&gt;0")</f>
        <v>3</v>
      </c>
      <c r="P4">
        <f>COUNTIF(P6:P10,1)</f>
        <v>0</v>
      </c>
      <c r="Q4">
        <f>COUNTIF(Q6:Q10,1)</f>
        <v>3</v>
      </c>
      <c r="S4">
        <f>COUNTIF(S6:S10,1)</f>
        <v>0</v>
      </c>
      <c r="T4">
        <f>COUNTIFS(T6:T10,1,K6:K10,"&gt;4")</f>
        <v>0</v>
      </c>
      <c r="U4" t="s">
        <v>0</v>
      </c>
      <c r="V4">
        <f>COUNT(V6:V10)</f>
        <v>4</v>
      </c>
      <c r="W4">
        <f>COUNTIF(W6:W10,"&gt;4")</f>
        <v>0</v>
      </c>
      <c r="Y4">
        <f>COUNTIF(Y6:Y10,1)</f>
        <v>0</v>
      </c>
      <c r="Z4">
        <f>COUNTIF(Z6:Z10,1)</f>
        <v>3</v>
      </c>
      <c r="AA4">
        <f>COUNTIF(AA6:AA10,"&gt;0")</f>
        <v>4</v>
      </c>
      <c r="AB4">
        <f>COUNTIF(AB6:AB10,1)</f>
        <v>0</v>
      </c>
      <c r="AC4">
        <f>COUNTIF(AC6:AC10,1)</f>
        <v>3</v>
      </c>
      <c r="AE4">
        <f>COUNTIF(AE6:AE10,1)</f>
        <v>0</v>
      </c>
      <c r="AF4">
        <f>COUNTIFS(AF6:AF10,1,W6:W10,"&gt;4")</f>
        <v>0</v>
      </c>
    </row>
    <row r="5" spans="1:32" x14ac:dyDescent="0.2">
      <c r="A5" t="s">
        <v>3</v>
      </c>
      <c r="B5" t="s">
        <v>4</v>
      </c>
      <c r="C5" t="s">
        <v>5</v>
      </c>
      <c r="D5" t="s">
        <v>6</v>
      </c>
      <c r="E5" t="s">
        <v>5</v>
      </c>
      <c r="F5" t="s">
        <v>6</v>
      </c>
      <c r="G5" t="s">
        <v>5</v>
      </c>
      <c r="H5" t="s">
        <v>6</v>
      </c>
      <c r="I5" t="s">
        <v>0</v>
      </c>
      <c r="J5" t="s">
        <v>3</v>
      </c>
      <c r="K5" t="s">
        <v>4</v>
      </c>
      <c r="L5" t="s">
        <v>5</v>
      </c>
      <c r="M5" t="s">
        <v>6</v>
      </c>
      <c r="N5" t="s">
        <v>7</v>
      </c>
      <c r="O5" t="s">
        <v>5</v>
      </c>
      <c r="P5" t="s">
        <v>6</v>
      </c>
      <c r="Q5" t="s">
        <v>8</v>
      </c>
      <c r="R5" t="s">
        <v>5</v>
      </c>
      <c r="S5" t="s">
        <v>6</v>
      </c>
      <c r="T5" t="s">
        <v>7</v>
      </c>
      <c r="U5" t="s">
        <v>0</v>
      </c>
      <c r="V5" t="s">
        <v>9</v>
      </c>
      <c r="W5" t="s">
        <v>4</v>
      </c>
      <c r="X5" t="s">
        <v>5</v>
      </c>
      <c r="Y5" t="s">
        <v>6</v>
      </c>
      <c r="Z5" t="s">
        <v>7</v>
      </c>
      <c r="AA5" t="s">
        <v>5</v>
      </c>
      <c r="AB5" t="s">
        <v>6</v>
      </c>
      <c r="AC5" t="s">
        <v>7</v>
      </c>
      <c r="AD5" t="s">
        <v>5</v>
      </c>
      <c r="AE5" t="s">
        <v>6</v>
      </c>
      <c r="AF5" t="s">
        <v>7</v>
      </c>
    </row>
    <row r="6" spans="1:32" x14ac:dyDescent="0.2">
      <c r="A6">
        <v>1</v>
      </c>
      <c r="B6">
        <v>4</v>
      </c>
      <c r="C6">
        <v>0.96699999999999997</v>
      </c>
      <c r="D6">
        <v>0.9</v>
      </c>
      <c r="E6">
        <v>0.96699999999999997</v>
      </c>
      <c r="F6">
        <v>0.9</v>
      </c>
      <c r="G6">
        <v>5.8000000000000003E-2</v>
      </c>
      <c r="H6">
        <v>0.01</v>
      </c>
      <c r="J6">
        <v>1</v>
      </c>
      <c r="K6">
        <v>4</v>
      </c>
      <c r="L6">
        <v>0.96699999999999997</v>
      </c>
      <c r="M6">
        <v>0.9</v>
      </c>
      <c r="N6">
        <v>1</v>
      </c>
      <c r="O6">
        <v>0.96699999999999997</v>
      </c>
      <c r="P6">
        <v>0.9</v>
      </c>
      <c r="Q6">
        <v>1</v>
      </c>
      <c r="R6">
        <v>0.83599999999999997</v>
      </c>
      <c r="S6">
        <v>0.83</v>
      </c>
      <c r="T6">
        <v>0</v>
      </c>
      <c r="V6">
        <v>1</v>
      </c>
      <c r="W6">
        <v>4</v>
      </c>
      <c r="X6">
        <v>0.96699999999999997</v>
      </c>
      <c r="Y6">
        <v>0.9</v>
      </c>
      <c r="Z6">
        <v>1</v>
      </c>
      <c r="AA6">
        <v>0.96699999999999997</v>
      </c>
      <c r="AB6">
        <v>0.9</v>
      </c>
      <c r="AC6">
        <v>1</v>
      </c>
      <c r="AD6">
        <v>0.83599999999999997</v>
      </c>
      <c r="AE6">
        <v>0.83</v>
      </c>
      <c r="AF6">
        <v>0</v>
      </c>
    </row>
    <row r="7" spans="1:32" x14ac:dyDescent="0.2">
      <c r="A7">
        <v>2</v>
      </c>
      <c r="B7">
        <v>4</v>
      </c>
      <c r="C7">
        <v>0.97199999999999998</v>
      </c>
      <c r="D7">
        <v>0.9</v>
      </c>
      <c r="E7">
        <v>0.97099999999999997</v>
      </c>
      <c r="F7">
        <v>0.89</v>
      </c>
      <c r="G7">
        <v>0.36399999999999999</v>
      </c>
      <c r="H7">
        <v>0</v>
      </c>
      <c r="J7">
        <v>2</v>
      </c>
      <c r="K7">
        <v>4</v>
      </c>
      <c r="L7">
        <v>0.97199999999999998</v>
      </c>
      <c r="M7">
        <v>0.9</v>
      </c>
      <c r="N7">
        <v>1</v>
      </c>
      <c r="O7">
        <v>0.97099999999999997</v>
      </c>
      <c r="P7">
        <v>0.89</v>
      </c>
      <c r="Q7">
        <v>1</v>
      </c>
      <c r="R7">
        <v>0.92100000000000004</v>
      </c>
      <c r="S7">
        <v>0.92</v>
      </c>
      <c r="T7">
        <v>0</v>
      </c>
      <c r="V7">
        <v>2</v>
      </c>
      <c r="W7">
        <v>4</v>
      </c>
      <c r="X7">
        <v>0.97199999999999998</v>
      </c>
      <c r="Y7">
        <v>0.9</v>
      </c>
      <c r="Z7">
        <v>1</v>
      </c>
      <c r="AA7">
        <v>0.97099999999999997</v>
      </c>
      <c r="AB7">
        <v>0.89</v>
      </c>
      <c r="AC7">
        <v>1</v>
      </c>
      <c r="AD7">
        <v>0.92100000000000004</v>
      </c>
      <c r="AE7">
        <v>0.92</v>
      </c>
      <c r="AF7">
        <v>0</v>
      </c>
    </row>
    <row r="8" spans="1:32" x14ac:dyDescent="0.2">
      <c r="A8">
        <v>3</v>
      </c>
      <c r="B8">
        <v>4</v>
      </c>
      <c r="C8">
        <v>0.92500000000000004</v>
      </c>
      <c r="D8">
        <v>0.64</v>
      </c>
      <c r="E8">
        <v>0.92500000000000004</v>
      </c>
      <c r="F8">
        <v>0.64</v>
      </c>
      <c r="G8">
        <v>1.4E-2</v>
      </c>
      <c r="H8">
        <v>0</v>
      </c>
      <c r="J8">
        <v>3</v>
      </c>
      <c r="K8">
        <v>5</v>
      </c>
      <c r="L8">
        <v>0.96199999999999997</v>
      </c>
      <c r="M8">
        <v>0.26</v>
      </c>
      <c r="N8">
        <v>1</v>
      </c>
      <c r="O8">
        <v>0.96199999999999997</v>
      </c>
      <c r="P8">
        <v>0.26</v>
      </c>
      <c r="Q8">
        <v>1</v>
      </c>
      <c r="R8">
        <v>0.41199999999999998</v>
      </c>
      <c r="S8">
        <v>0.38</v>
      </c>
      <c r="T8">
        <v>0.28599999999999998</v>
      </c>
      <c r="V8">
        <v>3</v>
      </c>
      <c r="W8">
        <v>4</v>
      </c>
      <c r="X8">
        <v>0.92500000000000004</v>
      </c>
      <c r="Y8">
        <v>0.64</v>
      </c>
      <c r="Z8">
        <v>1</v>
      </c>
      <c r="AA8">
        <v>0.92500000000000004</v>
      </c>
      <c r="AB8">
        <v>0.64</v>
      </c>
      <c r="AC8">
        <v>1</v>
      </c>
      <c r="AD8">
        <v>0.54500000000000004</v>
      </c>
      <c r="AE8">
        <v>0.54</v>
      </c>
      <c r="AF8">
        <v>0</v>
      </c>
    </row>
    <row r="9" spans="1:32" x14ac:dyDescent="0.2">
      <c r="A9">
        <v>4</v>
      </c>
      <c r="B9">
        <v>5</v>
      </c>
      <c r="C9">
        <v>0.96199999999999997</v>
      </c>
      <c r="D9">
        <v>0.26</v>
      </c>
      <c r="E9">
        <v>0.96199999999999997</v>
      </c>
      <c r="F9">
        <v>0.26</v>
      </c>
      <c r="G9">
        <v>0.35199999999999998</v>
      </c>
      <c r="H9">
        <v>0.33</v>
      </c>
      <c r="V9">
        <v>4</v>
      </c>
      <c r="W9">
        <v>4</v>
      </c>
      <c r="X9">
        <v>0.94399999999999995</v>
      </c>
      <c r="Y9">
        <v>0.3</v>
      </c>
      <c r="Z9">
        <v>0.95199999999999996</v>
      </c>
      <c r="AA9">
        <v>0.94399999999999995</v>
      </c>
      <c r="AB9">
        <v>0.3</v>
      </c>
      <c r="AC9">
        <v>0.95199999999999996</v>
      </c>
      <c r="AD9">
        <v>0.41199999999999998</v>
      </c>
      <c r="AE9">
        <v>0.38</v>
      </c>
      <c r="AF9">
        <v>0.28599999999999998</v>
      </c>
    </row>
    <row r="14" spans="1:32" x14ac:dyDescent="0.2">
      <c r="A14">
        <f>COUNT(A16:A20)</f>
        <v>4</v>
      </c>
      <c r="B14">
        <f>COUNTIF(B16:B20,"&gt;4")</f>
        <v>2</v>
      </c>
      <c r="D14" t="s">
        <v>0</v>
      </c>
      <c r="E14" t="s">
        <v>1</v>
      </c>
      <c r="F14" t="s">
        <v>0</v>
      </c>
      <c r="G14" t="s">
        <v>2</v>
      </c>
      <c r="H14" t="s">
        <v>0</v>
      </c>
      <c r="I14" t="s">
        <v>0</v>
      </c>
      <c r="J14">
        <f>COUNT(J16:J20)</f>
        <v>3</v>
      </c>
      <c r="K14">
        <f>COUNTIF(K16:K20,"&gt;4")</f>
        <v>0</v>
      </c>
      <c r="M14">
        <f>COUNTIF(M16:M20,1)</f>
        <v>0</v>
      </c>
      <c r="N14">
        <f>COUNTIF(N16:N20,1)</f>
        <v>1</v>
      </c>
      <c r="O14">
        <f>COUNTIF(O16:O20,"&gt;0")</f>
        <v>3</v>
      </c>
      <c r="P14">
        <f>COUNTIF(P16:P20,1)</f>
        <v>0</v>
      </c>
      <c r="Q14">
        <f>COUNTIF(Q16:Q20,1)</f>
        <v>1</v>
      </c>
      <c r="S14">
        <f>COUNTIF(S16:S20,1)</f>
        <v>0</v>
      </c>
      <c r="T14">
        <f>COUNTIFS(T16:T20,1,K16:K20,"&gt;4")</f>
        <v>0</v>
      </c>
      <c r="U14" t="s">
        <v>0</v>
      </c>
      <c r="V14">
        <f>COUNT(V16:V20)</f>
        <v>4</v>
      </c>
      <c r="W14">
        <f>COUNTIF(W16:W20,"&gt;4")</f>
        <v>0</v>
      </c>
      <c r="Y14">
        <f>COUNTIF(Y16:Y20,1)</f>
        <v>0</v>
      </c>
      <c r="Z14">
        <f>COUNTIF(Z16:Z20,1)</f>
        <v>2</v>
      </c>
      <c r="AA14">
        <f>COUNTIF(AA16:AA20,"&gt;0")</f>
        <v>4</v>
      </c>
      <c r="AB14">
        <f>COUNTIF(AB16:AB20,1)</f>
        <v>0</v>
      </c>
      <c r="AC14">
        <f>COUNTIF(AC16:AC20,1)</f>
        <v>2</v>
      </c>
      <c r="AE14">
        <f>COUNTIF(AE16:AE20,1)</f>
        <v>0</v>
      </c>
      <c r="AF14">
        <f>COUNTIFS(AF16:AF20,1,W16:W20,"&gt;4")</f>
        <v>0</v>
      </c>
    </row>
    <row r="15" spans="1:32" x14ac:dyDescent="0.2">
      <c r="A15" t="s">
        <v>3</v>
      </c>
      <c r="B15" t="s">
        <v>4</v>
      </c>
      <c r="C15" t="s">
        <v>5</v>
      </c>
      <c r="D15" t="s">
        <v>6</v>
      </c>
      <c r="E15" t="s">
        <v>5</v>
      </c>
      <c r="F15" t="s">
        <v>6</v>
      </c>
      <c r="G15" t="s">
        <v>5</v>
      </c>
      <c r="H15" t="s">
        <v>6</v>
      </c>
      <c r="I15" t="s">
        <v>0</v>
      </c>
      <c r="J15" t="s">
        <v>3</v>
      </c>
      <c r="K15" t="s">
        <v>4</v>
      </c>
      <c r="L15" t="s">
        <v>5</v>
      </c>
      <c r="M15" t="s">
        <v>6</v>
      </c>
      <c r="N15" t="s">
        <v>7</v>
      </c>
      <c r="O15" t="s">
        <v>5</v>
      </c>
      <c r="P15" t="s">
        <v>6</v>
      </c>
      <c r="Q15" t="s">
        <v>8</v>
      </c>
      <c r="R15" t="s">
        <v>5</v>
      </c>
      <c r="S15" t="s">
        <v>6</v>
      </c>
      <c r="T15" t="s">
        <v>7</v>
      </c>
      <c r="U15" t="s">
        <v>0</v>
      </c>
      <c r="V15" t="s">
        <v>9</v>
      </c>
      <c r="W15" t="s">
        <v>4</v>
      </c>
      <c r="X15" t="s">
        <v>5</v>
      </c>
      <c r="Y15" t="s">
        <v>6</v>
      </c>
      <c r="Z15" t="s">
        <v>7</v>
      </c>
      <c r="AA15" t="s">
        <v>5</v>
      </c>
      <c r="AB15" t="s">
        <v>6</v>
      </c>
      <c r="AC15" t="s">
        <v>7</v>
      </c>
      <c r="AD15" t="s">
        <v>5</v>
      </c>
      <c r="AE15" t="s">
        <v>6</v>
      </c>
      <c r="AF15" t="s">
        <v>7</v>
      </c>
    </row>
    <row r="16" spans="1:32" x14ac:dyDescent="0.2">
      <c r="A16">
        <v>1</v>
      </c>
      <c r="B16">
        <v>5</v>
      </c>
      <c r="C16">
        <v>0.94699999999999995</v>
      </c>
      <c r="D16">
        <v>0</v>
      </c>
      <c r="E16">
        <v>0.94599999999999995</v>
      </c>
      <c r="F16">
        <v>0</v>
      </c>
      <c r="G16">
        <v>0.26900000000000002</v>
      </c>
      <c r="H16">
        <v>0</v>
      </c>
      <c r="J16">
        <v>1</v>
      </c>
      <c r="K16">
        <v>4</v>
      </c>
      <c r="L16">
        <v>0.98</v>
      </c>
      <c r="M16">
        <v>0.84</v>
      </c>
      <c r="N16">
        <v>0.95199999999999996</v>
      </c>
      <c r="O16">
        <v>0.98</v>
      </c>
      <c r="P16">
        <v>0.84</v>
      </c>
      <c r="Q16">
        <v>0.95199999999999996</v>
      </c>
      <c r="R16">
        <v>0.86399999999999999</v>
      </c>
      <c r="S16">
        <v>0.86</v>
      </c>
      <c r="T16">
        <v>0</v>
      </c>
      <c r="V16">
        <v>1</v>
      </c>
      <c r="W16">
        <v>4</v>
      </c>
      <c r="X16">
        <v>0.98</v>
      </c>
      <c r="Y16">
        <v>0.84</v>
      </c>
      <c r="Z16">
        <v>0.95199999999999996</v>
      </c>
      <c r="AA16">
        <v>0.98</v>
      </c>
      <c r="AB16">
        <v>0.84</v>
      </c>
      <c r="AC16">
        <v>0.95199999999999996</v>
      </c>
      <c r="AD16">
        <v>0.86399999999999999</v>
      </c>
      <c r="AE16">
        <v>0.86</v>
      </c>
      <c r="AF16">
        <v>0</v>
      </c>
    </row>
    <row r="17" spans="1:32" x14ac:dyDescent="0.2">
      <c r="A17">
        <v>2</v>
      </c>
      <c r="B17">
        <v>4</v>
      </c>
      <c r="C17">
        <v>0.88900000000000001</v>
      </c>
      <c r="D17">
        <v>0.37</v>
      </c>
      <c r="E17">
        <v>0.88700000000000001</v>
      </c>
      <c r="F17">
        <v>0.34</v>
      </c>
      <c r="G17">
        <v>0.65200000000000002</v>
      </c>
      <c r="H17">
        <v>0.64</v>
      </c>
      <c r="J17">
        <v>2</v>
      </c>
      <c r="K17">
        <v>4</v>
      </c>
      <c r="L17">
        <v>0.9</v>
      </c>
      <c r="M17">
        <v>0.74</v>
      </c>
      <c r="N17">
        <v>1</v>
      </c>
      <c r="O17">
        <v>0.9</v>
      </c>
      <c r="P17">
        <v>0.74</v>
      </c>
      <c r="Q17">
        <v>1</v>
      </c>
      <c r="R17">
        <v>0.56399999999999995</v>
      </c>
      <c r="S17">
        <v>0.56000000000000005</v>
      </c>
      <c r="T17">
        <v>0</v>
      </c>
      <c r="V17">
        <v>2</v>
      </c>
      <c r="W17">
        <v>4</v>
      </c>
      <c r="X17">
        <v>0.88900000000000001</v>
      </c>
      <c r="Y17">
        <v>0.37</v>
      </c>
      <c r="Z17">
        <v>1</v>
      </c>
      <c r="AA17">
        <v>0.88700000000000001</v>
      </c>
      <c r="AB17">
        <v>0.34</v>
      </c>
      <c r="AC17">
        <v>1</v>
      </c>
      <c r="AD17">
        <v>0.65200000000000002</v>
      </c>
      <c r="AE17">
        <v>0.64</v>
      </c>
      <c r="AF17">
        <v>1</v>
      </c>
    </row>
    <row r="18" spans="1:32" x14ac:dyDescent="0.2">
      <c r="A18">
        <v>3</v>
      </c>
      <c r="B18">
        <v>4</v>
      </c>
      <c r="C18">
        <v>0.9</v>
      </c>
      <c r="D18">
        <v>0.74</v>
      </c>
      <c r="E18">
        <v>0.9</v>
      </c>
      <c r="F18">
        <v>0.74</v>
      </c>
      <c r="G18">
        <v>4.7E-2</v>
      </c>
      <c r="H18">
        <v>0.01</v>
      </c>
      <c r="J18">
        <v>3</v>
      </c>
      <c r="K18">
        <v>4</v>
      </c>
      <c r="L18">
        <v>0.876</v>
      </c>
      <c r="M18">
        <v>0.69</v>
      </c>
      <c r="N18">
        <v>0.95199999999999996</v>
      </c>
      <c r="O18">
        <v>0.876</v>
      </c>
      <c r="P18">
        <v>0.69</v>
      </c>
      <c r="Q18">
        <v>0.95199999999999996</v>
      </c>
      <c r="R18">
        <v>0.34200000000000003</v>
      </c>
      <c r="S18">
        <v>0.11</v>
      </c>
      <c r="T18">
        <v>0.25</v>
      </c>
      <c r="V18">
        <v>3</v>
      </c>
      <c r="W18">
        <v>4</v>
      </c>
      <c r="X18">
        <v>0.9</v>
      </c>
      <c r="Y18">
        <v>0.74</v>
      </c>
      <c r="Z18">
        <v>1</v>
      </c>
      <c r="AA18">
        <v>0.9</v>
      </c>
      <c r="AB18">
        <v>0.74</v>
      </c>
      <c r="AC18">
        <v>1</v>
      </c>
      <c r="AD18">
        <v>0.56399999999999995</v>
      </c>
      <c r="AE18">
        <v>0.56000000000000005</v>
      </c>
      <c r="AF18">
        <v>0</v>
      </c>
    </row>
    <row r="19" spans="1:32" x14ac:dyDescent="0.2">
      <c r="A19">
        <v>4</v>
      </c>
      <c r="B19">
        <v>5</v>
      </c>
      <c r="C19">
        <v>0.83899999999999997</v>
      </c>
      <c r="D19">
        <v>0.04</v>
      </c>
      <c r="E19">
        <v>0.83799999999999997</v>
      </c>
      <c r="F19">
        <v>0.02</v>
      </c>
      <c r="G19">
        <v>0.3</v>
      </c>
      <c r="H19">
        <v>0.28999999999999998</v>
      </c>
      <c r="V19">
        <v>4</v>
      </c>
      <c r="W19">
        <v>4</v>
      </c>
      <c r="X19">
        <v>0.876</v>
      </c>
      <c r="Y19">
        <v>0.69</v>
      </c>
      <c r="Z19">
        <v>0.95199999999999996</v>
      </c>
      <c r="AA19">
        <v>0.876</v>
      </c>
      <c r="AB19">
        <v>0.69</v>
      </c>
      <c r="AC19">
        <v>0.95199999999999996</v>
      </c>
      <c r="AD19">
        <v>0.3</v>
      </c>
      <c r="AE19">
        <v>0.28999999999999998</v>
      </c>
      <c r="AF19">
        <v>1</v>
      </c>
    </row>
    <row r="24" spans="1:32" x14ac:dyDescent="0.2">
      <c r="A24">
        <f>COUNT(A26:A30)</f>
        <v>4</v>
      </c>
      <c r="B24">
        <f>COUNTIF(B26:B30,"&gt;4")</f>
        <v>1</v>
      </c>
      <c r="D24" t="s">
        <v>0</v>
      </c>
      <c r="E24" t="s">
        <v>1</v>
      </c>
      <c r="F24" t="s">
        <v>0</v>
      </c>
      <c r="G24" t="s">
        <v>2</v>
      </c>
      <c r="H24" t="s">
        <v>0</v>
      </c>
      <c r="I24" t="s">
        <v>0</v>
      </c>
      <c r="J24">
        <f>COUNT(J26:J30)</f>
        <v>4</v>
      </c>
      <c r="K24">
        <f>COUNTIF(K26:K30,"&gt;4")</f>
        <v>1</v>
      </c>
      <c r="M24">
        <f>COUNTIF(M26:M30,1)</f>
        <v>0</v>
      </c>
      <c r="N24">
        <f>COUNTIF(N26:N30,1)</f>
        <v>4</v>
      </c>
      <c r="O24">
        <f>COUNTIF(O26:O30,"&gt;0")</f>
        <v>4</v>
      </c>
      <c r="P24">
        <f>COUNTIF(P26:P30,1)</f>
        <v>0</v>
      </c>
      <c r="Q24">
        <f>COUNTIF(Q26:Q30,1)</f>
        <v>4</v>
      </c>
      <c r="S24">
        <f>COUNTIF(S26:S30,1)</f>
        <v>0</v>
      </c>
      <c r="T24">
        <f>COUNTIFS(T26:T30,1,K26:K30,"&gt;4")</f>
        <v>1</v>
      </c>
      <c r="U24" t="s">
        <v>0</v>
      </c>
      <c r="V24">
        <f>COUNT(V26:V30)</f>
        <v>5</v>
      </c>
      <c r="W24">
        <f>COUNTIF(W26:W30,"&gt;4")</f>
        <v>1</v>
      </c>
      <c r="Y24">
        <f>COUNTIF(Y26:Y30,1)</f>
        <v>0</v>
      </c>
      <c r="Z24">
        <f>COUNTIF(Z26:Z30,1)</f>
        <v>4</v>
      </c>
      <c r="AA24">
        <f>COUNTIF(AA26:AA30,"&gt;0")</f>
        <v>5</v>
      </c>
      <c r="AB24">
        <f>COUNTIF(AB26:AB30,1)</f>
        <v>0</v>
      </c>
      <c r="AC24">
        <f>COUNTIF(AC26:AC30,1)</f>
        <v>4</v>
      </c>
      <c r="AE24">
        <f>COUNTIF(AE26:AE30,1)</f>
        <v>0</v>
      </c>
      <c r="AF24">
        <f>COUNTIFS(AF26:AF30,1,W26:W30,"&gt;4")</f>
        <v>1</v>
      </c>
    </row>
    <row r="25" spans="1:32" x14ac:dyDescent="0.2">
      <c r="A25" t="s">
        <v>3</v>
      </c>
      <c r="B25" t="s">
        <v>4</v>
      </c>
      <c r="C25" t="s">
        <v>5</v>
      </c>
      <c r="D25" t="s">
        <v>6</v>
      </c>
      <c r="E25" t="s">
        <v>5</v>
      </c>
      <c r="F25" t="s">
        <v>6</v>
      </c>
      <c r="G25" t="s">
        <v>5</v>
      </c>
      <c r="H25" t="s">
        <v>6</v>
      </c>
      <c r="I25" t="s">
        <v>0</v>
      </c>
      <c r="J25" t="s">
        <v>3</v>
      </c>
      <c r="K25" t="s">
        <v>4</v>
      </c>
      <c r="L25" t="s">
        <v>5</v>
      </c>
      <c r="M25" t="s">
        <v>6</v>
      </c>
      <c r="N25" t="s">
        <v>7</v>
      </c>
      <c r="O25" t="s">
        <v>5</v>
      </c>
      <c r="P25" t="s">
        <v>6</v>
      </c>
      <c r="Q25" t="s">
        <v>8</v>
      </c>
      <c r="R25" t="s">
        <v>5</v>
      </c>
      <c r="S25" t="s">
        <v>6</v>
      </c>
      <c r="T25" t="s">
        <v>7</v>
      </c>
      <c r="U25" t="s">
        <v>0</v>
      </c>
      <c r="V25" t="s">
        <v>9</v>
      </c>
      <c r="W25" t="s">
        <v>4</v>
      </c>
      <c r="X25" t="s">
        <v>5</v>
      </c>
      <c r="Y25" t="s">
        <v>6</v>
      </c>
      <c r="Z25" t="s">
        <v>7</v>
      </c>
      <c r="AA25" t="s">
        <v>5</v>
      </c>
      <c r="AB25" t="s">
        <v>6</v>
      </c>
      <c r="AC25" t="s">
        <v>7</v>
      </c>
      <c r="AD25" t="s">
        <v>5</v>
      </c>
      <c r="AE25" t="s">
        <v>6</v>
      </c>
      <c r="AF25" t="s">
        <v>7</v>
      </c>
    </row>
    <row r="26" spans="1:32" x14ac:dyDescent="0.2">
      <c r="A26">
        <v>1</v>
      </c>
      <c r="B26">
        <v>5</v>
      </c>
      <c r="C26">
        <v>0.99299999999999999</v>
      </c>
      <c r="D26">
        <v>0.86</v>
      </c>
      <c r="E26">
        <v>0.99299999999999999</v>
      </c>
      <c r="F26">
        <v>0.86</v>
      </c>
      <c r="G26">
        <v>0.97299999999999998</v>
      </c>
      <c r="H26">
        <v>0.97</v>
      </c>
      <c r="J26">
        <v>1</v>
      </c>
      <c r="K26">
        <v>5</v>
      </c>
      <c r="L26">
        <v>0.99299999999999999</v>
      </c>
      <c r="M26">
        <v>0.86</v>
      </c>
      <c r="N26">
        <v>1</v>
      </c>
      <c r="O26">
        <v>0.99299999999999999</v>
      </c>
      <c r="P26">
        <v>0.86</v>
      </c>
      <c r="Q26">
        <v>1</v>
      </c>
      <c r="R26">
        <v>0.97299999999999998</v>
      </c>
      <c r="S26">
        <v>0.97</v>
      </c>
      <c r="T26">
        <v>1</v>
      </c>
      <c r="V26">
        <v>1</v>
      </c>
      <c r="W26">
        <v>4</v>
      </c>
      <c r="X26">
        <v>0.89800000000000002</v>
      </c>
      <c r="Y26">
        <v>0.62</v>
      </c>
      <c r="Z26">
        <v>0.52400000000000002</v>
      </c>
      <c r="AA26">
        <v>0.88100000000000001</v>
      </c>
      <c r="AB26">
        <v>0.37</v>
      </c>
      <c r="AC26">
        <v>0.52400000000000002</v>
      </c>
      <c r="AD26">
        <v>0.70799999999999996</v>
      </c>
      <c r="AE26">
        <v>0.68</v>
      </c>
      <c r="AF26">
        <v>0</v>
      </c>
    </row>
    <row r="27" spans="1:32" x14ac:dyDescent="0.2">
      <c r="A27">
        <v>2</v>
      </c>
      <c r="B27">
        <v>4</v>
      </c>
      <c r="C27">
        <v>0.99</v>
      </c>
      <c r="D27">
        <v>0.95</v>
      </c>
      <c r="E27">
        <v>0.98899999999999999</v>
      </c>
      <c r="F27">
        <v>0.94</v>
      </c>
      <c r="G27">
        <v>7.9000000000000001E-2</v>
      </c>
      <c r="H27">
        <v>0.01</v>
      </c>
      <c r="J27">
        <v>2</v>
      </c>
      <c r="K27">
        <v>4</v>
      </c>
      <c r="L27">
        <v>0.99</v>
      </c>
      <c r="M27">
        <v>0.95</v>
      </c>
      <c r="N27">
        <v>1</v>
      </c>
      <c r="O27">
        <v>0.98899999999999999</v>
      </c>
      <c r="P27">
        <v>0.94</v>
      </c>
      <c r="Q27">
        <v>1</v>
      </c>
      <c r="R27">
        <v>0.88700000000000001</v>
      </c>
      <c r="S27">
        <v>0.88</v>
      </c>
      <c r="T27">
        <v>0.222</v>
      </c>
      <c r="V27">
        <v>2</v>
      </c>
      <c r="W27">
        <v>5</v>
      </c>
      <c r="X27">
        <v>0.99299999999999999</v>
      </c>
      <c r="Y27">
        <v>0.86</v>
      </c>
      <c r="Z27">
        <v>1</v>
      </c>
      <c r="AA27">
        <v>0.99299999999999999</v>
      </c>
      <c r="AB27">
        <v>0.86</v>
      </c>
      <c r="AC27">
        <v>1</v>
      </c>
      <c r="AD27">
        <v>0.97299999999999998</v>
      </c>
      <c r="AE27">
        <v>0.97</v>
      </c>
      <c r="AF27">
        <v>1</v>
      </c>
    </row>
    <row r="28" spans="1:32" x14ac:dyDescent="0.2">
      <c r="A28">
        <v>3</v>
      </c>
      <c r="B28">
        <v>4</v>
      </c>
      <c r="C28">
        <v>0.98899999999999999</v>
      </c>
      <c r="D28">
        <v>0.95</v>
      </c>
      <c r="E28">
        <v>0.98899999999999999</v>
      </c>
      <c r="F28">
        <v>0.95</v>
      </c>
      <c r="G28">
        <v>0.443</v>
      </c>
      <c r="H28">
        <v>0.42</v>
      </c>
      <c r="J28">
        <v>3</v>
      </c>
      <c r="K28">
        <v>4</v>
      </c>
      <c r="L28">
        <v>0.98899999999999999</v>
      </c>
      <c r="M28">
        <v>0.95</v>
      </c>
      <c r="N28">
        <v>1</v>
      </c>
      <c r="O28">
        <v>0.98899999999999999</v>
      </c>
      <c r="P28">
        <v>0.95</v>
      </c>
      <c r="Q28">
        <v>1</v>
      </c>
      <c r="R28">
        <v>0.443</v>
      </c>
      <c r="S28">
        <v>0.42</v>
      </c>
      <c r="T28">
        <v>1</v>
      </c>
      <c r="V28">
        <v>3</v>
      </c>
      <c r="W28">
        <v>4</v>
      </c>
      <c r="X28">
        <v>0.99</v>
      </c>
      <c r="Y28">
        <v>0.95</v>
      </c>
      <c r="Z28">
        <v>1</v>
      </c>
      <c r="AA28">
        <v>0.98899999999999999</v>
      </c>
      <c r="AB28">
        <v>0.94</v>
      </c>
      <c r="AC28">
        <v>1</v>
      </c>
      <c r="AD28">
        <v>0.88700000000000001</v>
      </c>
      <c r="AE28">
        <v>0.88</v>
      </c>
      <c r="AF28">
        <v>0.222</v>
      </c>
    </row>
    <row r="29" spans="1:32" x14ac:dyDescent="0.2">
      <c r="A29">
        <v>4</v>
      </c>
      <c r="B29">
        <v>4</v>
      </c>
      <c r="C29">
        <v>0.96799999999999997</v>
      </c>
      <c r="D29">
        <v>0.89</v>
      </c>
      <c r="E29">
        <v>0.96799999999999997</v>
      </c>
      <c r="F29">
        <v>0.89</v>
      </c>
      <c r="G29">
        <v>7.3999999999999996E-2</v>
      </c>
      <c r="H29">
        <v>0.04</v>
      </c>
      <c r="J29">
        <v>4</v>
      </c>
      <c r="K29">
        <v>4</v>
      </c>
      <c r="L29">
        <v>0.96799999999999997</v>
      </c>
      <c r="M29">
        <v>0.89</v>
      </c>
      <c r="N29">
        <v>1</v>
      </c>
      <c r="O29">
        <v>0.96799999999999997</v>
      </c>
      <c r="P29">
        <v>0.89</v>
      </c>
      <c r="Q29">
        <v>1</v>
      </c>
      <c r="R29">
        <v>0.81699999999999995</v>
      </c>
      <c r="S29">
        <v>0.55000000000000004</v>
      </c>
      <c r="T29">
        <v>0.38500000000000001</v>
      </c>
      <c r="V29">
        <v>4</v>
      </c>
      <c r="W29">
        <v>4</v>
      </c>
      <c r="X29">
        <v>0.98899999999999999</v>
      </c>
      <c r="Y29">
        <v>0.95</v>
      </c>
      <c r="Z29">
        <v>1</v>
      </c>
      <c r="AA29">
        <v>0.98899999999999999</v>
      </c>
      <c r="AB29">
        <v>0.95</v>
      </c>
      <c r="AC29">
        <v>1</v>
      </c>
      <c r="AD29">
        <v>0.443</v>
      </c>
      <c r="AE29">
        <v>0.42</v>
      </c>
      <c r="AF29">
        <v>1</v>
      </c>
    </row>
    <row r="30" spans="1:32" x14ac:dyDescent="0.2">
      <c r="V30">
        <v>5</v>
      </c>
      <c r="W30">
        <v>4</v>
      </c>
      <c r="X30">
        <v>0.96799999999999997</v>
      </c>
      <c r="Y30">
        <v>0.89</v>
      </c>
      <c r="Z30">
        <v>1</v>
      </c>
      <c r="AA30">
        <v>0.96799999999999997</v>
      </c>
      <c r="AB30">
        <v>0.89</v>
      </c>
      <c r="AC30">
        <v>1</v>
      </c>
      <c r="AD30">
        <v>0.81699999999999995</v>
      </c>
      <c r="AE30">
        <v>0.55000000000000004</v>
      </c>
      <c r="AF30">
        <v>0.38500000000000001</v>
      </c>
    </row>
    <row r="35" spans="1:32" x14ac:dyDescent="0.2">
      <c r="A35">
        <f>COUNT(A37:A41)</f>
        <v>2</v>
      </c>
      <c r="B35">
        <f>COUNTIF(B37:B41,"&gt;4")</f>
        <v>2</v>
      </c>
      <c r="D35" t="s">
        <v>0</v>
      </c>
      <c r="E35" t="s">
        <v>1</v>
      </c>
      <c r="F35" t="s">
        <v>0</v>
      </c>
      <c r="G35" t="s">
        <v>2</v>
      </c>
      <c r="H35" t="s">
        <v>0</v>
      </c>
      <c r="I35" t="s">
        <v>0</v>
      </c>
      <c r="J35">
        <f>COUNT(J37:J41)</f>
        <v>4</v>
      </c>
      <c r="K35">
        <f>COUNTIF(K37:K41,"&gt;4")</f>
        <v>3</v>
      </c>
      <c r="M35">
        <f>COUNTIF(M37:M41,1)</f>
        <v>0</v>
      </c>
      <c r="N35">
        <f>COUNTIF(N37:N41,1)</f>
        <v>1</v>
      </c>
      <c r="O35">
        <f>COUNTIF(O37:O41,"&gt;0")</f>
        <v>4</v>
      </c>
      <c r="P35">
        <f>COUNTIF(P37:P41,1)</f>
        <v>0</v>
      </c>
      <c r="Q35">
        <f>COUNTIF(Q37:Q41,1)</f>
        <v>1</v>
      </c>
      <c r="S35">
        <f>COUNTIF(S37:S41,1)</f>
        <v>0</v>
      </c>
      <c r="T35">
        <f>COUNTIFS(T37:T41,1,K37:K41,"&gt;4")</f>
        <v>2</v>
      </c>
      <c r="U35" t="s">
        <v>0</v>
      </c>
      <c r="V35">
        <f>COUNT(V37:V41)</f>
        <v>4</v>
      </c>
      <c r="W35">
        <f>COUNTIF(W37:W41,"&gt;4")</f>
        <v>2</v>
      </c>
      <c r="Y35">
        <f>COUNTIF(Y37:Y41,1)</f>
        <v>0</v>
      </c>
      <c r="Z35">
        <f>COUNTIF(Z37:Z41,1)</f>
        <v>1</v>
      </c>
      <c r="AA35">
        <f>COUNTIF(AA37:AA41,"&gt;0")</f>
        <v>4</v>
      </c>
      <c r="AB35">
        <f>COUNTIF(AB37:AB41,1)</f>
        <v>0</v>
      </c>
      <c r="AC35">
        <f>COUNTIF(AC37:AC41,1)</f>
        <v>1</v>
      </c>
      <c r="AE35">
        <f>COUNTIF(AE37:AE41,1)</f>
        <v>0</v>
      </c>
      <c r="AF35">
        <f>COUNTIFS(AF37:AF41,1,W37:W41,"&gt;4")</f>
        <v>2</v>
      </c>
    </row>
    <row r="36" spans="1:32" x14ac:dyDescent="0.2">
      <c r="A36" t="s">
        <v>3</v>
      </c>
      <c r="B36" t="s">
        <v>4</v>
      </c>
      <c r="C36" t="s">
        <v>5</v>
      </c>
      <c r="D36" t="s">
        <v>6</v>
      </c>
      <c r="E36" t="s">
        <v>5</v>
      </c>
      <c r="F36" t="s">
        <v>6</v>
      </c>
      <c r="G36" t="s">
        <v>5</v>
      </c>
      <c r="H36" t="s">
        <v>6</v>
      </c>
      <c r="I36" t="s">
        <v>0</v>
      </c>
      <c r="J36" t="s">
        <v>3</v>
      </c>
      <c r="K36" t="s">
        <v>4</v>
      </c>
      <c r="L36" t="s">
        <v>5</v>
      </c>
      <c r="M36" t="s">
        <v>6</v>
      </c>
      <c r="N36" t="s">
        <v>7</v>
      </c>
      <c r="O36" t="s">
        <v>5</v>
      </c>
      <c r="P36" t="s">
        <v>6</v>
      </c>
      <c r="Q36" t="s">
        <v>8</v>
      </c>
      <c r="R36" t="s">
        <v>5</v>
      </c>
      <c r="S36" t="s">
        <v>6</v>
      </c>
      <c r="T36" t="s">
        <v>7</v>
      </c>
      <c r="U36" t="s">
        <v>0</v>
      </c>
      <c r="V36" t="s">
        <v>9</v>
      </c>
      <c r="W36" t="s">
        <v>4</v>
      </c>
      <c r="X36" t="s">
        <v>5</v>
      </c>
      <c r="Y36" t="s">
        <v>6</v>
      </c>
      <c r="Z36" t="s">
        <v>7</v>
      </c>
      <c r="AA36" t="s">
        <v>5</v>
      </c>
      <c r="AB36" t="s">
        <v>6</v>
      </c>
      <c r="AC36" t="s">
        <v>7</v>
      </c>
      <c r="AD36" t="s">
        <v>5</v>
      </c>
      <c r="AE36" t="s">
        <v>6</v>
      </c>
      <c r="AF36" t="s">
        <v>7</v>
      </c>
    </row>
    <row r="37" spans="1:32" x14ac:dyDescent="0.2">
      <c r="A37">
        <v>1</v>
      </c>
      <c r="B37">
        <v>7</v>
      </c>
      <c r="C37">
        <v>0.89100000000000001</v>
      </c>
      <c r="D37">
        <v>0.02</v>
      </c>
      <c r="E37">
        <v>0.89</v>
      </c>
      <c r="F37">
        <v>0.02</v>
      </c>
      <c r="G37">
        <v>0.85099999999999998</v>
      </c>
      <c r="H37">
        <v>0.85</v>
      </c>
      <c r="J37">
        <v>1</v>
      </c>
      <c r="K37">
        <v>5</v>
      </c>
      <c r="L37">
        <v>0.76700000000000002</v>
      </c>
      <c r="M37">
        <v>0.1</v>
      </c>
      <c r="N37">
        <v>0.52400000000000002</v>
      </c>
      <c r="O37">
        <v>0.754</v>
      </c>
      <c r="P37">
        <v>0.1</v>
      </c>
      <c r="Q37">
        <v>0.52400000000000002</v>
      </c>
      <c r="R37">
        <v>0.29099999999999998</v>
      </c>
      <c r="S37">
        <v>0.28999999999999998</v>
      </c>
      <c r="T37">
        <v>0</v>
      </c>
      <c r="V37">
        <v>1</v>
      </c>
      <c r="W37">
        <v>4</v>
      </c>
      <c r="X37">
        <v>0.78400000000000003</v>
      </c>
      <c r="Y37">
        <v>0.45</v>
      </c>
      <c r="Z37">
        <v>0.52400000000000002</v>
      </c>
      <c r="AA37">
        <v>0.77</v>
      </c>
      <c r="AB37">
        <v>0.27</v>
      </c>
      <c r="AC37">
        <v>0.52400000000000002</v>
      </c>
      <c r="AD37">
        <v>0.29099999999999998</v>
      </c>
      <c r="AE37">
        <v>0.28999999999999998</v>
      </c>
      <c r="AF37">
        <v>0</v>
      </c>
    </row>
    <row r="38" spans="1:32" x14ac:dyDescent="0.2">
      <c r="A38">
        <v>2</v>
      </c>
      <c r="B38">
        <v>6</v>
      </c>
      <c r="C38">
        <v>0.98199999999999998</v>
      </c>
      <c r="D38">
        <v>0.89</v>
      </c>
      <c r="E38">
        <v>0.97299999999999998</v>
      </c>
      <c r="F38">
        <v>0.75</v>
      </c>
      <c r="G38">
        <v>0.98</v>
      </c>
      <c r="H38">
        <v>0.98</v>
      </c>
      <c r="J38">
        <v>2</v>
      </c>
      <c r="K38">
        <v>8</v>
      </c>
      <c r="L38">
        <v>0.92100000000000004</v>
      </c>
      <c r="M38">
        <v>0.59</v>
      </c>
      <c r="N38">
        <v>0.95199999999999996</v>
      </c>
      <c r="O38">
        <v>0.91100000000000003</v>
      </c>
      <c r="P38">
        <v>0.46</v>
      </c>
      <c r="Q38">
        <v>0.95199999999999996</v>
      </c>
      <c r="R38">
        <v>0.85099999999999998</v>
      </c>
      <c r="S38">
        <v>0.85</v>
      </c>
      <c r="T38">
        <v>1</v>
      </c>
      <c r="V38">
        <v>2</v>
      </c>
      <c r="W38">
        <v>8</v>
      </c>
      <c r="X38">
        <v>0.92100000000000004</v>
      </c>
      <c r="Y38">
        <v>0.59</v>
      </c>
      <c r="Z38">
        <v>0.95199999999999996</v>
      </c>
      <c r="AA38">
        <v>0.91100000000000003</v>
      </c>
      <c r="AB38">
        <v>0.46</v>
      </c>
      <c r="AC38">
        <v>0.95199999999999996</v>
      </c>
      <c r="AD38">
        <v>0.85099999999999998</v>
      </c>
      <c r="AE38">
        <v>0.85</v>
      </c>
      <c r="AF38">
        <v>1</v>
      </c>
    </row>
    <row r="39" spans="1:32" x14ac:dyDescent="0.2">
      <c r="J39">
        <v>3</v>
      </c>
      <c r="K39">
        <v>4</v>
      </c>
      <c r="L39">
        <v>0.93799999999999994</v>
      </c>
      <c r="M39">
        <v>0.81</v>
      </c>
      <c r="N39">
        <v>0.52400000000000002</v>
      </c>
      <c r="O39">
        <v>0.93500000000000005</v>
      </c>
      <c r="P39">
        <v>0.76</v>
      </c>
      <c r="Q39">
        <v>0.52400000000000002</v>
      </c>
      <c r="R39">
        <v>0.80500000000000005</v>
      </c>
      <c r="S39">
        <v>0.8</v>
      </c>
      <c r="T39">
        <v>0</v>
      </c>
      <c r="V39">
        <v>3</v>
      </c>
      <c r="W39">
        <v>4</v>
      </c>
      <c r="X39">
        <v>0.93799999999999994</v>
      </c>
      <c r="Y39">
        <v>0.81</v>
      </c>
      <c r="Z39">
        <v>0.52400000000000002</v>
      </c>
      <c r="AA39">
        <v>0.93500000000000005</v>
      </c>
      <c r="AB39">
        <v>0.76</v>
      </c>
      <c r="AC39">
        <v>0.52400000000000002</v>
      </c>
      <c r="AD39">
        <v>0.80500000000000005</v>
      </c>
      <c r="AE39">
        <v>0.8</v>
      </c>
      <c r="AF39">
        <v>0</v>
      </c>
    </row>
    <row r="40" spans="1:32" x14ac:dyDescent="0.2">
      <c r="J40">
        <v>4</v>
      </c>
      <c r="K40">
        <v>6</v>
      </c>
      <c r="L40">
        <v>0.98199999999999998</v>
      </c>
      <c r="M40">
        <v>0.89</v>
      </c>
      <c r="N40">
        <v>1</v>
      </c>
      <c r="O40">
        <v>0.97299999999999998</v>
      </c>
      <c r="P40">
        <v>0.75</v>
      </c>
      <c r="Q40">
        <v>1</v>
      </c>
      <c r="R40">
        <v>0.98</v>
      </c>
      <c r="S40">
        <v>0.98</v>
      </c>
      <c r="T40">
        <v>1</v>
      </c>
      <c r="V40">
        <v>4</v>
      </c>
      <c r="W40">
        <v>6</v>
      </c>
      <c r="X40">
        <v>0.98199999999999998</v>
      </c>
      <c r="Y40">
        <v>0.89</v>
      </c>
      <c r="Z40">
        <v>1</v>
      </c>
      <c r="AA40">
        <v>0.97299999999999998</v>
      </c>
      <c r="AB40">
        <v>0.75</v>
      </c>
      <c r="AC40">
        <v>1</v>
      </c>
      <c r="AD40">
        <v>0.98</v>
      </c>
      <c r="AE40">
        <v>0.98</v>
      </c>
      <c r="AF40">
        <v>1</v>
      </c>
    </row>
    <row r="45" spans="1:32" x14ac:dyDescent="0.2">
      <c r="A45">
        <f>COUNT(A47:A51)</f>
        <v>3</v>
      </c>
      <c r="B45">
        <f>COUNTIF(B47:B51,"&gt;4")</f>
        <v>2</v>
      </c>
      <c r="D45" t="s">
        <v>0</v>
      </c>
      <c r="E45" t="s">
        <v>1</v>
      </c>
      <c r="F45" t="s">
        <v>0</v>
      </c>
      <c r="G45" t="s">
        <v>2</v>
      </c>
      <c r="H45" t="s">
        <v>0</v>
      </c>
      <c r="I45" t="s">
        <v>0</v>
      </c>
      <c r="J45">
        <f>COUNT(J47:J51)</f>
        <v>3</v>
      </c>
      <c r="K45">
        <f>COUNTIF(K47:K51,"&gt;4")</f>
        <v>2</v>
      </c>
      <c r="M45">
        <f>COUNTIF(M47:M51,1)</f>
        <v>0</v>
      </c>
      <c r="N45">
        <f>COUNTIF(N47:N51,1)</f>
        <v>2</v>
      </c>
      <c r="O45">
        <f>COUNTIF(O47:O51,"&gt;0")</f>
        <v>3</v>
      </c>
      <c r="P45">
        <f>COUNTIF(P47:P51,1)</f>
        <v>0</v>
      </c>
      <c r="Q45">
        <f>COUNTIF(Q47:Q51,1)</f>
        <v>2</v>
      </c>
      <c r="S45">
        <f>COUNTIF(S47:S51,1)</f>
        <v>1</v>
      </c>
      <c r="T45">
        <f>COUNTIFS(T47:T51,1,K47:K51,"&gt;4")</f>
        <v>2</v>
      </c>
      <c r="U45" t="s">
        <v>0</v>
      </c>
      <c r="V45">
        <f>COUNT(V47:V51)</f>
        <v>3</v>
      </c>
      <c r="W45">
        <f>COUNTIF(W47:W51,"&gt;4")</f>
        <v>2</v>
      </c>
      <c r="Y45">
        <f>COUNTIF(Y47:Y51,1)</f>
        <v>0</v>
      </c>
      <c r="Z45">
        <f>COUNTIF(Z47:Z51,1)</f>
        <v>2</v>
      </c>
      <c r="AA45">
        <f>COUNTIF(AA47:AA51,"&gt;0")</f>
        <v>3</v>
      </c>
      <c r="AB45">
        <f>COUNTIF(AB47:AB51,1)</f>
        <v>0</v>
      </c>
      <c r="AC45">
        <f>COUNTIF(AC47:AC51,1)</f>
        <v>2</v>
      </c>
      <c r="AE45">
        <f>COUNTIF(AE47:AE51,1)</f>
        <v>1</v>
      </c>
      <c r="AF45">
        <f>COUNTIFS(AF47:AF51,1,W47:W51,"&gt;4")</f>
        <v>2</v>
      </c>
    </row>
    <row r="46" spans="1:32" x14ac:dyDescent="0.2">
      <c r="A46" t="s">
        <v>3</v>
      </c>
      <c r="B46" t="s">
        <v>4</v>
      </c>
      <c r="C46" t="s">
        <v>5</v>
      </c>
      <c r="D46" t="s">
        <v>6</v>
      </c>
      <c r="E46" t="s">
        <v>5</v>
      </c>
      <c r="F46" t="s">
        <v>6</v>
      </c>
      <c r="G46" t="s">
        <v>5</v>
      </c>
      <c r="H46" t="s">
        <v>6</v>
      </c>
      <c r="I46" t="s">
        <v>0</v>
      </c>
      <c r="J46" t="s">
        <v>3</v>
      </c>
      <c r="K46" t="s">
        <v>4</v>
      </c>
      <c r="L46" t="s">
        <v>5</v>
      </c>
      <c r="M46" t="s">
        <v>6</v>
      </c>
      <c r="N46" t="s">
        <v>7</v>
      </c>
      <c r="O46" t="s">
        <v>5</v>
      </c>
      <c r="P46" t="s">
        <v>6</v>
      </c>
      <c r="Q46" t="s">
        <v>8</v>
      </c>
      <c r="R46" t="s">
        <v>5</v>
      </c>
      <c r="S46" t="s">
        <v>6</v>
      </c>
      <c r="T46" t="s">
        <v>7</v>
      </c>
      <c r="U46" t="s">
        <v>0</v>
      </c>
      <c r="V46" t="s">
        <v>9</v>
      </c>
      <c r="W46" t="s">
        <v>4</v>
      </c>
      <c r="X46" t="s">
        <v>5</v>
      </c>
      <c r="Y46" t="s">
        <v>6</v>
      </c>
      <c r="Z46" t="s">
        <v>7</v>
      </c>
      <c r="AA46" t="s">
        <v>5</v>
      </c>
      <c r="AB46" t="s">
        <v>6</v>
      </c>
      <c r="AC46" t="s">
        <v>7</v>
      </c>
      <c r="AD46" t="s">
        <v>5</v>
      </c>
      <c r="AE46" t="s">
        <v>6</v>
      </c>
      <c r="AF46" t="s">
        <v>7</v>
      </c>
    </row>
    <row r="47" spans="1:32" x14ac:dyDescent="0.2">
      <c r="A47">
        <v>1</v>
      </c>
      <c r="B47">
        <v>4</v>
      </c>
      <c r="C47">
        <v>0.72099999999999997</v>
      </c>
      <c r="D47">
        <v>0.48</v>
      </c>
      <c r="E47">
        <v>0.72099999999999997</v>
      </c>
      <c r="F47">
        <v>0.48</v>
      </c>
      <c r="G47">
        <v>2.3E-2</v>
      </c>
      <c r="H47">
        <v>0</v>
      </c>
      <c r="J47">
        <v>1</v>
      </c>
      <c r="K47">
        <v>4</v>
      </c>
      <c r="L47">
        <v>0.72099999999999997</v>
      </c>
      <c r="M47">
        <v>0.48</v>
      </c>
      <c r="N47">
        <v>1</v>
      </c>
      <c r="O47">
        <v>0.72099999999999997</v>
      </c>
      <c r="P47">
        <v>0.48</v>
      </c>
      <c r="Q47">
        <v>1</v>
      </c>
      <c r="R47">
        <v>0.52500000000000002</v>
      </c>
      <c r="S47">
        <v>0.52</v>
      </c>
      <c r="T47">
        <v>0</v>
      </c>
      <c r="V47">
        <v>1</v>
      </c>
      <c r="W47">
        <v>4</v>
      </c>
      <c r="X47">
        <v>0.72099999999999997</v>
      </c>
      <c r="Y47">
        <v>0.48</v>
      </c>
      <c r="Z47">
        <v>1</v>
      </c>
      <c r="AA47">
        <v>0.72099999999999997</v>
      </c>
      <c r="AB47">
        <v>0.48</v>
      </c>
      <c r="AC47">
        <v>1</v>
      </c>
      <c r="AD47">
        <v>0.52500000000000002</v>
      </c>
      <c r="AE47">
        <v>0.52</v>
      </c>
      <c r="AF47">
        <v>0</v>
      </c>
    </row>
    <row r="48" spans="1:32" x14ac:dyDescent="0.2">
      <c r="A48">
        <v>2</v>
      </c>
      <c r="B48">
        <v>7</v>
      </c>
      <c r="C48">
        <v>0.96899999999999997</v>
      </c>
      <c r="D48">
        <v>0.36</v>
      </c>
      <c r="E48">
        <v>0.96899999999999997</v>
      </c>
      <c r="F48">
        <v>0.36</v>
      </c>
      <c r="G48">
        <v>1</v>
      </c>
      <c r="H48">
        <v>1</v>
      </c>
      <c r="J48">
        <v>2</v>
      </c>
      <c r="K48">
        <v>6</v>
      </c>
      <c r="L48">
        <v>0.97899999999999998</v>
      </c>
      <c r="M48">
        <v>0.59</v>
      </c>
      <c r="N48">
        <v>0.95199999999999996</v>
      </c>
      <c r="O48">
        <v>0.97899999999999998</v>
      </c>
      <c r="P48">
        <v>0.59</v>
      </c>
      <c r="Q48">
        <v>0.95199999999999996</v>
      </c>
      <c r="R48">
        <v>1</v>
      </c>
      <c r="S48">
        <v>1</v>
      </c>
      <c r="T48">
        <v>1</v>
      </c>
      <c r="V48">
        <v>2</v>
      </c>
      <c r="W48">
        <v>6</v>
      </c>
      <c r="X48">
        <v>0.97899999999999998</v>
      </c>
      <c r="Y48">
        <v>0.59</v>
      </c>
      <c r="Z48">
        <v>0.95199999999999996</v>
      </c>
      <c r="AA48">
        <v>0.97899999999999998</v>
      </c>
      <c r="AB48">
        <v>0.59</v>
      </c>
      <c r="AC48">
        <v>0.95199999999999996</v>
      </c>
      <c r="AD48">
        <v>1</v>
      </c>
      <c r="AE48">
        <v>1</v>
      </c>
      <c r="AF48">
        <v>1</v>
      </c>
    </row>
    <row r="49" spans="1:32" x14ac:dyDescent="0.2">
      <c r="A49">
        <v>3</v>
      </c>
      <c r="B49">
        <v>6</v>
      </c>
      <c r="C49">
        <v>0.99</v>
      </c>
      <c r="D49">
        <v>0.8</v>
      </c>
      <c r="E49">
        <v>0.99</v>
      </c>
      <c r="F49">
        <v>0.78</v>
      </c>
      <c r="G49">
        <v>0.96099999999999997</v>
      </c>
      <c r="H49">
        <v>0.96</v>
      </c>
      <c r="J49">
        <v>3</v>
      </c>
      <c r="K49">
        <v>6</v>
      </c>
      <c r="L49">
        <v>0.99</v>
      </c>
      <c r="M49">
        <v>0.8</v>
      </c>
      <c r="N49">
        <v>1</v>
      </c>
      <c r="O49">
        <v>0.99</v>
      </c>
      <c r="P49">
        <v>0.78</v>
      </c>
      <c r="Q49">
        <v>1</v>
      </c>
      <c r="R49">
        <v>0.96099999999999997</v>
      </c>
      <c r="S49">
        <v>0.96</v>
      </c>
      <c r="T49">
        <v>1</v>
      </c>
      <c r="V49">
        <v>3</v>
      </c>
      <c r="W49">
        <v>6</v>
      </c>
      <c r="X49">
        <v>0.99</v>
      </c>
      <c r="Y49">
        <v>0.8</v>
      </c>
      <c r="Z49">
        <v>1</v>
      </c>
      <c r="AA49">
        <v>0.99</v>
      </c>
      <c r="AB49">
        <v>0.78</v>
      </c>
      <c r="AC49">
        <v>1</v>
      </c>
      <c r="AD49">
        <v>0.96099999999999997</v>
      </c>
      <c r="AE49">
        <v>0.96</v>
      </c>
      <c r="AF49">
        <v>1</v>
      </c>
    </row>
    <row r="54" spans="1:32" x14ac:dyDescent="0.2">
      <c r="A54">
        <f>COUNT(A56:A60)</f>
        <v>2</v>
      </c>
      <c r="B54">
        <f>COUNTIF(B56:B60,"&gt;4")</f>
        <v>2</v>
      </c>
      <c r="D54" t="s">
        <v>0</v>
      </c>
      <c r="E54" t="s">
        <v>1</v>
      </c>
      <c r="F54" t="s">
        <v>0</v>
      </c>
      <c r="G54" t="s">
        <v>2</v>
      </c>
      <c r="H54" t="s">
        <v>0</v>
      </c>
      <c r="I54" t="s">
        <v>0</v>
      </c>
      <c r="J54">
        <f>COUNT(J56:J60)</f>
        <v>3</v>
      </c>
      <c r="K54">
        <f>COUNTIF(K56:K60,"&gt;4")</f>
        <v>1</v>
      </c>
      <c r="M54">
        <f>COUNTIF(M56:M60,1)</f>
        <v>0</v>
      </c>
      <c r="N54">
        <f>COUNTIF(N56:N60,1)</f>
        <v>0</v>
      </c>
      <c r="O54">
        <f>COUNTIF(O56:O60,"&gt;0")</f>
        <v>3</v>
      </c>
      <c r="P54">
        <f>COUNTIF(P56:P60,1)</f>
        <v>0</v>
      </c>
      <c r="Q54">
        <f>COUNTIF(Q56:Q60,1)</f>
        <v>0</v>
      </c>
      <c r="S54">
        <f>COUNTIF(S56:S60,1)</f>
        <v>0</v>
      </c>
      <c r="T54">
        <f>COUNTIFS(T56:T60,1,K56:K60,"&gt;4")</f>
        <v>1</v>
      </c>
      <c r="U54" t="s">
        <v>0</v>
      </c>
      <c r="V54">
        <f>COUNT(V56:V60)</f>
        <v>3</v>
      </c>
      <c r="W54">
        <f>COUNTIF(W56:W60,"&gt;4")</f>
        <v>1</v>
      </c>
      <c r="Y54">
        <f>COUNTIF(Y56:Y60,1)</f>
        <v>0</v>
      </c>
      <c r="Z54">
        <f>COUNTIF(Z56:Z60,1)</f>
        <v>0</v>
      </c>
      <c r="AA54">
        <f>COUNTIF(AA56:AA60,"&gt;0")</f>
        <v>3</v>
      </c>
      <c r="AB54">
        <f>COUNTIF(AB56:AB60,1)</f>
        <v>0</v>
      </c>
      <c r="AC54">
        <f>COUNTIF(AC56:AC60,1)</f>
        <v>0</v>
      </c>
      <c r="AE54">
        <f>COUNTIF(AE56:AE60,1)</f>
        <v>0</v>
      </c>
      <c r="AF54">
        <f>COUNTIFS(AF56:AF60,1,W56:W60,"&gt;4")</f>
        <v>1</v>
      </c>
    </row>
    <row r="55" spans="1:32" x14ac:dyDescent="0.2">
      <c r="A55" t="s">
        <v>3</v>
      </c>
      <c r="B55" t="s">
        <v>4</v>
      </c>
      <c r="C55" t="s">
        <v>5</v>
      </c>
      <c r="D55" t="s">
        <v>6</v>
      </c>
      <c r="E55" t="s">
        <v>5</v>
      </c>
      <c r="F55" t="s">
        <v>6</v>
      </c>
      <c r="G55" t="s">
        <v>5</v>
      </c>
      <c r="H55" t="s">
        <v>6</v>
      </c>
      <c r="I55" t="s">
        <v>0</v>
      </c>
      <c r="J55" t="s">
        <v>3</v>
      </c>
      <c r="K55" t="s">
        <v>4</v>
      </c>
      <c r="L55" t="s">
        <v>5</v>
      </c>
      <c r="M55" t="s">
        <v>6</v>
      </c>
      <c r="N55" t="s">
        <v>7</v>
      </c>
      <c r="O55" t="s">
        <v>5</v>
      </c>
      <c r="P55" t="s">
        <v>6</v>
      </c>
      <c r="Q55" t="s">
        <v>8</v>
      </c>
      <c r="R55" t="s">
        <v>5</v>
      </c>
      <c r="S55" t="s">
        <v>6</v>
      </c>
      <c r="T55" t="s">
        <v>7</v>
      </c>
      <c r="U55" t="s">
        <v>0</v>
      </c>
      <c r="V55" t="s">
        <v>9</v>
      </c>
      <c r="W55" t="s">
        <v>4</v>
      </c>
      <c r="X55" t="s">
        <v>5</v>
      </c>
      <c r="Y55" t="s">
        <v>6</v>
      </c>
      <c r="Z55" t="s">
        <v>7</v>
      </c>
      <c r="AA55" t="s">
        <v>5</v>
      </c>
      <c r="AB55" t="s">
        <v>6</v>
      </c>
      <c r="AC55" t="s">
        <v>7</v>
      </c>
      <c r="AD55" t="s">
        <v>5</v>
      </c>
      <c r="AE55" t="s">
        <v>6</v>
      </c>
      <c r="AF55" t="s">
        <v>7</v>
      </c>
    </row>
    <row r="56" spans="1:32" x14ac:dyDescent="0.2">
      <c r="A56">
        <v>1</v>
      </c>
      <c r="B56">
        <v>7</v>
      </c>
      <c r="C56">
        <v>0.88</v>
      </c>
      <c r="D56">
        <v>0.17</v>
      </c>
      <c r="E56">
        <v>0.877</v>
      </c>
      <c r="F56">
        <v>0.15</v>
      </c>
      <c r="G56">
        <v>0.66200000000000003</v>
      </c>
      <c r="H56">
        <v>0.66</v>
      </c>
      <c r="J56">
        <v>1</v>
      </c>
      <c r="K56">
        <v>5</v>
      </c>
      <c r="L56">
        <v>0.92200000000000004</v>
      </c>
      <c r="M56">
        <v>0.28999999999999998</v>
      </c>
      <c r="N56">
        <v>0.90500000000000003</v>
      </c>
      <c r="O56">
        <v>0.92100000000000004</v>
      </c>
      <c r="P56">
        <v>0.28999999999999998</v>
      </c>
      <c r="Q56">
        <v>0.90500000000000003</v>
      </c>
      <c r="R56">
        <v>0.66200000000000003</v>
      </c>
      <c r="S56">
        <v>0.66</v>
      </c>
      <c r="T56">
        <v>1</v>
      </c>
      <c r="V56">
        <v>1</v>
      </c>
      <c r="W56">
        <v>5</v>
      </c>
      <c r="X56">
        <v>0.92200000000000004</v>
      </c>
      <c r="Y56">
        <v>0.28999999999999998</v>
      </c>
      <c r="Z56">
        <v>0.90500000000000003</v>
      </c>
      <c r="AA56">
        <v>0.92100000000000004</v>
      </c>
      <c r="AB56">
        <v>0.28999999999999998</v>
      </c>
      <c r="AC56">
        <v>0.90500000000000003</v>
      </c>
      <c r="AD56">
        <v>0.66200000000000003</v>
      </c>
      <c r="AE56">
        <v>0.66</v>
      </c>
      <c r="AF56">
        <v>1</v>
      </c>
    </row>
    <row r="57" spans="1:32" x14ac:dyDescent="0.2">
      <c r="A57">
        <v>2</v>
      </c>
      <c r="B57">
        <v>6</v>
      </c>
      <c r="C57">
        <v>0.92</v>
      </c>
      <c r="D57">
        <v>0.14000000000000001</v>
      </c>
      <c r="E57">
        <v>0.92</v>
      </c>
      <c r="F57">
        <v>0.14000000000000001</v>
      </c>
      <c r="G57">
        <v>0.214</v>
      </c>
      <c r="H57">
        <v>0.21</v>
      </c>
      <c r="J57">
        <v>2</v>
      </c>
      <c r="K57">
        <v>4</v>
      </c>
      <c r="L57">
        <v>0.97899999999999998</v>
      </c>
      <c r="M57">
        <v>0.75</v>
      </c>
      <c r="N57">
        <v>0.90500000000000003</v>
      </c>
      <c r="O57">
        <v>0.97899999999999998</v>
      </c>
      <c r="P57">
        <v>0.75</v>
      </c>
      <c r="Q57">
        <v>0.90500000000000003</v>
      </c>
      <c r="R57">
        <v>0.76</v>
      </c>
      <c r="S57">
        <v>0.76</v>
      </c>
      <c r="T57">
        <v>0.28599999999999998</v>
      </c>
      <c r="V57">
        <v>2</v>
      </c>
      <c r="W57">
        <v>4</v>
      </c>
      <c r="X57">
        <v>0.97899999999999998</v>
      </c>
      <c r="Y57">
        <v>0.75</v>
      </c>
      <c r="Z57">
        <v>0.90500000000000003</v>
      </c>
      <c r="AA57">
        <v>0.97899999999999998</v>
      </c>
      <c r="AB57">
        <v>0.75</v>
      </c>
      <c r="AC57">
        <v>0.90500000000000003</v>
      </c>
      <c r="AD57">
        <v>0.76</v>
      </c>
      <c r="AE57">
        <v>0.76</v>
      </c>
      <c r="AF57">
        <v>0.28599999999999998</v>
      </c>
    </row>
    <row r="58" spans="1:32" x14ac:dyDescent="0.2">
      <c r="J58">
        <v>3</v>
      </c>
      <c r="K58">
        <v>4</v>
      </c>
      <c r="L58">
        <v>0.97099999999999997</v>
      </c>
      <c r="M58">
        <v>0.76</v>
      </c>
      <c r="N58">
        <v>0.90500000000000003</v>
      </c>
      <c r="O58">
        <v>0.97099999999999997</v>
      </c>
      <c r="P58">
        <v>0.76</v>
      </c>
      <c r="Q58">
        <v>0.90500000000000003</v>
      </c>
      <c r="R58">
        <v>0.78</v>
      </c>
      <c r="S58">
        <v>0.78</v>
      </c>
      <c r="T58">
        <v>0.28599999999999998</v>
      </c>
      <c r="V58">
        <v>3</v>
      </c>
      <c r="W58">
        <v>4</v>
      </c>
      <c r="X58">
        <v>0.97099999999999997</v>
      </c>
      <c r="Y58">
        <v>0.76</v>
      </c>
      <c r="Z58">
        <v>0.90500000000000003</v>
      </c>
      <c r="AA58">
        <v>0.97099999999999997</v>
      </c>
      <c r="AB58">
        <v>0.76</v>
      </c>
      <c r="AC58">
        <v>0.90500000000000003</v>
      </c>
      <c r="AD58">
        <v>0.78</v>
      </c>
      <c r="AE58">
        <v>0.78</v>
      </c>
      <c r="AF58">
        <v>0.28599999999999998</v>
      </c>
    </row>
    <row r="63" spans="1:32" x14ac:dyDescent="0.2">
      <c r="A63">
        <f>COUNT(A65:A69)</f>
        <v>4</v>
      </c>
      <c r="B63">
        <f>COUNTIF(B65:B69,"&gt;4")</f>
        <v>1</v>
      </c>
      <c r="D63" t="s">
        <v>0</v>
      </c>
      <c r="E63" t="s">
        <v>1</v>
      </c>
      <c r="F63" t="s">
        <v>0</v>
      </c>
      <c r="G63" t="s">
        <v>2</v>
      </c>
      <c r="H63" t="s">
        <v>0</v>
      </c>
      <c r="I63" t="s">
        <v>0</v>
      </c>
      <c r="J63">
        <f>COUNT(J65:J69)</f>
        <v>1</v>
      </c>
      <c r="K63">
        <f>COUNTIF(K65:K69,"&gt;4")</f>
        <v>0</v>
      </c>
      <c r="M63">
        <f>COUNTIF(M65:M69,1)</f>
        <v>0</v>
      </c>
      <c r="N63">
        <f>COUNTIF(N65:N69,1)</f>
        <v>1</v>
      </c>
      <c r="O63">
        <f>COUNTIF(O65:O69,"&gt;0")</f>
        <v>1</v>
      </c>
      <c r="P63">
        <f>COUNTIF(P65:P69,1)</f>
        <v>0</v>
      </c>
      <c r="Q63">
        <f>COUNTIF(Q65:Q69,1)</f>
        <v>1</v>
      </c>
      <c r="S63">
        <f>COUNTIF(S65:S69,1)</f>
        <v>0</v>
      </c>
      <c r="T63">
        <f>COUNTIFS(T65:T69,1,K65:K69,"&gt;4")</f>
        <v>0</v>
      </c>
      <c r="U63" t="s">
        <v>0</v>
      </c>
      <c r="V63">
        <f>COUNT(V65:V69)</f>
        <v>3</v>
      </c>
      <c r="W63">
        <f>COUNTIF(W65:W69,"&gt;4")</f>
        <v>0</v>
      </c>
      <c r="Y63">
        <f>COUNTIF(Y65:Y69,1)</f>
        <v>0</v>
      </c>
      <c r="Z63">
        <f>COUNTIF(Z65:Z69,1)</f>
        <v>1</v>
      </c>
      <c r="AA63">
        <f>COUNTIF(AA65:AA69,"&gt;0")</f>
        <v>3</v>
      </c>
      <c r="AB63">
        <f>COUNTIF(AB65:AB69,1)</f>
        <v>0</v>
      </c>
      <c r="AC63">
        <f>COUNTIF(AC65:AC69,1)</f>
        <v>1</v>
      </c>
      <c r="AE63">
        <f>COUNTIF(AE65:AE69,1)</f>
        <v>0</v>
      </c>
      <c r="AF63">
        <f>COUNTIFS(AF65:AF69,1,W65:W69,"&gt;4")</f>
        <v>0</v>
      </c>
    </row>
    <row r="64" spans="1:32" x14ac:dyDescent="0.2">
      <c r="A64" t="s">
        <v>3</v>
      </c>
      <c r="B64" t="s">
        <v>4</v>
      </c>
      <c r="C64" t="s">
        <v>5</v>
      </c>
      <c r="D64" t="s">
        <v>6</v>
      </c>
      <c r="E64" t="s">
        <v>5</v>
      </c>
      <c r="F64" t="s">
        <v>6</v>
      </c>
      <c r="G64" t="s">
        <v>5</v>
      </c>
      <c r="H64" t="s">
        <v>6</v>
      </c>
      <c r="I64" t="s">
        <v>0</v>
      </c>
      <c r="J64" t="s">
        <v>3</v>
      </c>
      <c r="K64" t="s">
        <v>4</v>
      </c>
      <c r="L64" t="s">
        <v>5</v>
      </c>
      <c r="M64" t="s">
        <v>6</v>
      </c>
      <c r="N64" t="s">
        <v>7</v>
      </c>
      <c r="O64" t="s">
        <v>5</v>
      </c>
      <c r="P64" t="s">
        <v>6</v>
      </c>
      <c r="Q64" t="s">
        <v>8</v>
      </c>
      <c r="R64" t="s">
        <v>5</v>
      </c>
      <c r="S64" t="s">
        <v>6</v>
      </c>
      <c r="T64" t="s">
        <v>7</v>
      </c>
      <c r="U64" t="s">
        <v>0</v>
      </c>
      <c r="V64" t="s">
        <v>9</v>
      </c>
      <c r="W64" t="s">
        <v>4</v>
      </c>
      <c r="X64" t="s">
        <v>5</v>
      </c>
      <c r="Y64" t="s">
        <v>6</v>
      </c>
      <c r="Z64" t="s">
        <v>7</v>
      </c>
      <c r="AA64" t="s">
        <v>5</v>
      </c>
      <c r="AB64" t="s">
        <v>6</v>
      </c>
      <c r="AC64" t="s">
        <v>7</v>
      </c>
      <c r="AD64" t="s">
        <v>5</v>
      </c>
      <c r="AE64" t="s">
        <v>6</v>
      </c>
      <c r="AF64" t="s">
        <v>7</v>
      </c>
    </row>
    <row r="65" spans="1:32" x14ac:dyDescent="0.2">
      <c r="A65">
        <v>1</v>
      </c>
      <c r="B65">
        <v>4</v>
      </c>
      <c r="C65">
        <v>0.74299999999999999</v>
      </c>
      <c r="D65">
        <v>0.04</v>
      </c>
      <c r="E65">
        <v>0.752</v>
      </c>
      <c r="F65">
        <v>0.04</v>
      </c>
      <c r="G65">
        <v>8.3000000000000004E-2</v>
      </c>
      <c r="H65">
        <v>0.03</v>
      </c>
      <c r="J65">
        <v>1</v>
      </c>
      <c r="K65">
        <v>4</v>
      </c>
      <c r="L65">
        <v>0.97699999999999998</v>
      </c>
      <c r="M65">
        <v>0.96</v>
      </c>
      <c r="N65">
        <v>1</v>
      </c>
      <c r="O65">
        <v>0.98599999999999999</v>
      </c>
      <c r="P65">
        <v>0.96</v>
      </c>
      <c r="Q65">
        <v>1</v>
      </c>
      <c r="R65">
        <v>0.223</v>
      </c>
      <c r="S65">
        <v>0.22</v>
      </c>
      <c r="T65">
        <v>0.4</v>
      </c>
      <c r="V65">
        <v>1</v>
      </c>
      <c r="W65">
        <v>4</v>
      </c>
      <c r="X65">
        <v>0.75600000000000001</v>
      </c>
      <c r="Y65">
        <v>0.51</v>
      </c>
      <c r="Z65">
        <v>0.61899999999999999</v>
      </c>
      <c r="AA65">
        <v>0.76500000000000001</v>
      </c>
      <c r="AB65">
        <v>0.51</v>
      </c>
      <c r="AC65">
        <v>0.61899999999999999</v>
      </c>
      <c r="AD65">
        <v>0.55400000000000005</v>
      </c>
      <c r="AE65">
        <v>0.52</v>
      </c>
      <c r="AF65">
        <v>0</v>
      </c>
    </row>
    <row r="66" spans="1:32" x14ac:dyDescent="0.2">
      <c r="A66">
        <v>2</v>
      </c>
      <c r="B66">
        <v>4</v>
      </c>
      <c r="C66">
        <v>0.78</v>
      </c>
      <c r="D66">
        <v>0.42</v>
      </c>
      <c r="E66">
        <v>0.78600000000000003</v>
      </c>
      <c r="F66">
        <v>0.35</v>
      </c>
      <c r="G66">
        <v>0.20399999999999999</v>
      </c>
      <c r="H66">
        <v>0</v>
      </c>
      <c r="V66">
        <v>2</v>
      </c>
      <c r="W66">
        <v>4</v>
      </c>
      <c r="X66">
        <v>0.88400000000000001</v>
      </c>
      <c r="Y66">
        <v>0.73</v>
      </c>
      <c r="Z66">
        <v>0.76200000000000001</v>
      </c>
      <c r="AA66">
        <v>0.89</v>
      </c>
      <c r="AB66">
        <v>0.65</v>
      </c>
      <c r="AC66">
        <v>0.76200000000000001</v>
      </c>
      <c r="AD66">
        <v>0.63</v>
      </c>
      <c r="AE66">
        <v>0.61</v>
      </c>
      <c r="AF66">
        <v>0</v>
      </c>
    </row>
    <row r="67" spans="1:32" x14ac:dyDescent="0.2">
      <c r="A67">
        <v>3</v>
      </c>
      <c r="B67">
        <v>5</v>
      </c>
      <c r="C67">
        <v>0.82699999999999996</v>
      </c>
      <c r="D67">
        <v>0.09</v>
      </c>
      <c r="E67">
        <v>0.82899999999999996</v>
      </c>
      <c r="F67">
        <v>0.01</v>
      </c>
      <c r="G67">
        <v>0.46800000000000003</v>
      </c>
      <c r="H67">
        <v>0.43</v>
      </c>
      <c r="V67">
        <v>3</v>
      </c>
      <c r="W67">
        <v>4</v>
      </c>
      <c r="X67">
        <v>0.97699999999999998</v>
      </c>
      <c r="Y67">
        <v>0.96</v>
      </c>
      <c r="Z67">
        <v>1</v>
      </c>
      <c r="AA67">
        <v>0.98599999999999999</v>
      </c>
      <c r="AB67">
        <v>0.96</v>
      </c>
      <c r="AC67">
        <v>1</v>
      </c>
      <c r="AD67">
        <v>0.56999999999999995</v>
      </c>
      <c r="AE67">
        <v>0.45</v>
      </c>
      <c r="AF67">
        <v>0.111</v>
      </c>
    </row>
    <row r="68" spans="1:32" x14ac:dyDescent="0.2">
      <c r="A68">
        <v>4</v>
      </c>
      <c r="B68">
        <v>4</v>
      </c>
      <c r="C68">
        <v>0.97699999999999998</v>
      </c>
      <c r="D68">
        <v>0.96</v>
      </c>
      <c r="E68">
        <v>0.98599999999999999</v>
      </c>
      <c r="F68">
        <v>0.96</v>
      </c>
      <c r="G68">
        <v>0.29299999999999998</v>
      </c>
      <c r="H68">
        <v>0.28999999999999998</v>
      </c>
    </row>
    <row r="73" spans="1:32" x14ac:dyDescent="0.2">
      <c r="A73">
        <f>COUNT(A75:A79)</f>
        <v>4</v>
      </c>
      <c r="B73">
        <f>COUNTIF(B75:B79,"&gt;4")</f>
        <v>1</v>
      </c>
      <c r="D73" t="s">
        <v>0</v>
      </c>
      <c r="E73" t="s">
        <v>1</v>
      </c>
      <c r="F73" t="s">
        <v>0</v>
      </c>
      <c r="G73" t="s">
        <v>2</v>
      </c>
      <c r="H73" t="s">
        <v>0</v>
      </c>
      <c r="I73" t="s">
        <v>0</v>
      </c>
      <c r="J73">
        <f>COUNT(J75:J79)</f>
        <v>5</v>
      </c>
      <c r="K73">
        <f>COUNTIF(K75:K79,"&gt;4")</f>
        <v>2</v>
      </c>
      <c r="M73">
        <f>COUNTIF(M75:M79,1)</f>
        <v>0</v>
      </c>
      <c r="N73">
        <f>COUNTIF(N75:N79,1)</f>
        <v>3</v>
      </c>
      <c r="O73">
        <f>COUNTIF(O75:O79,"&gt;0")</f>
        <v>5</v>
      </c>
      <c r="P73">
        <f>COUNTIF(P75:P79,1)</f>
        <v>0</v>
      </c>
      <c r="Q73">
        <f>COUNTIF(Q75:Q79,1)</f>
        <v>3</v>
      </c>
      <c r="S73">
        <f>COUNTIF(S75:S79,1)</f>
        <v>0</v>
      </c>
      <c r="T73">
        <f>COUNTIFS(T75:T79,1,K75:K79,"&gt;4")</f>
        <v>1</v>
      </c>
      <c r="U73" t="s">
        <v>0</v>
      </c>
      <c r="V73">
        <f>COUNT(V75:V79)</f>
        <v>5</v>
      </c>
      <c r="W73">
        <f>COUNTIF(W75:W79,"&gt;4")</f>
        <v>2</v>
      </c>
      <c r="Y73">
        <f>COUNTIF(Y75:Y79,1)</f>
        <v>0</v>
      </c>
      <c r="Z73">
        <f>COUNTIF(Z75:Z79,1)</f>
        <v>3</v>
      </c>
      <c r="AA73">
        <f>COUNTIF(AA75:AA79,"&gt;0")</f>
        <v>5</v>
      </c>
      <c r="AB73">
        <f>COUNTIF(AB75:AB79,1)</f>
        <v>0</v>
      </c>
      <c r="AC73">
        <f>COUNTIF(AC75:AC79,1)</f>
        <v>3</v>
      </c>
      <c r="AE73">
        <f>COUNTIF(AE75:AE79,1)</f>
        <v>0</v>
      </c>
      <c r="AF73">
        <f>COUNTIFS(AF75:AF79,1,W75:W79,"&gt;4")</f>
        <v>1</v>
      </c>
    </row>
    <row r="74" spans="1:32" x14ac:dyDescent="0.2">
      <c r="A74" t="s">
        <v>3</v>
      </c>
      <c r="B74" t="s">
        <v>4</v>
      </c>
      <c r="C74" t="s">
        <v>5</v>
      </c>
      <c r="D74" t="s">
        <v>6</v>
      </c>
      <c r="E74" t="s">
        <v>5</v>
      </c>
      <c r="F74" t="s">
        <v>6</v>
      </c>
      <c r="G74" t="s">
        <v>5</v>
      </c>
      <c r="H74" t="s">
        <v>6</v>
      </c>
      <c r="I74" t="s">
        <v>0</v>
      </c>
      <c r="J74" t="s">
        <v>3</v>
      </c>
      <c r="K74" t="s">
        <v>4</v>
      </c>
      <c r="L74" t="s">
        <v>5</v>
      </c>
      <c r="M74" t="s">
        <v>6</v>
      </c>
      <c r="N74" t="s">
        <v>7</v>
      </c>
      <c r="O74" t="s">
        <v>5</v>
      </c>
      <c r="P74" t="s">
        <v>6</v>
      </c>
      <c r="Q74" t="s">
        <v>8</v>
      </c>
      <c r="R74" t="s">
        <v>5</v>
      </c>
      <c r="S74" t="s">
        <v>6</v>
      </c>
      <c r="T74" t="s">
        <v>7</v>
      </c>
      <c r="U74" t="s">
        <v>0</v>
      </c>
      <c r="V74" t="s">
        <v>9</v>
      </c>
      <c r="W74" t="s">
        <v>4</v>
      </c>
      <c r="X74" t="s">
        <v>5</v>
      </c>
      <c r="Y74" t="s">
        <v>6</v>
      </c>
      <c r="Z74" t="s">
        <v>7</v>
      </c>
      <c r="AA74" t="s">
        <v>5</v>
      </c>
      <c r="AB74" t="s">
        <v>6</v>
      </c>
      <c r="AC74" t="s">
        <v>7</v>
      </c>
      <c r="AD74" t="s">
        <v>5</v>
      </c>
      <c r="AE74" t="s">
        <v>6</v>
      </c>
      <c r="AF74" t="s">
        <v>7</v>
      </c>
    </row>
    <row r="75" spans="1:32" x14ac:dyDescent="0.2">
      <c r="A75">
        <v>1</v>
      </c>
      <c r="B75">
        <v>5</v>
      </c>
      <c r="C75">
        <v>0.98799999999999999</v>
      </c>
      <c r="D75">
        <v>0.74</v>
      </c>
      <c r="E75">
        <v>0.98799999999999999</v>
      </c>
      <c r="F75">
        <v>0.74</v>
      </c>
      <c r="G75">
        <v>0.51900000000000002</v>
      </c>
      <c r="H75">
        <v>0.5</v>
      </c>
      <c r="J75">
        <v>1</v>
      </c>
      <c r="K75">
        <v>4</v>
      </c>
      <c r="L75">
        <v>0.86399999999999999</v>
      </c>
      <c r="M75">
        <v>0.5</v>
      </c>
      <c r="N75">
        <v>0.52400000000000002</v>
      </c>
      <c r="O75">
        <v>0.86399999999999999</v>
      </c>
      <c r="P75">
        <v>0.5</v>
      </c>
      <c r="Q75">
        <v>0.52400000000000002</v>
      </c>
      <c r="R75">
        <v>0.67400000000000004</v>
      </c>
      <c r="S75">
        <v>0.63</v>
      </c>
      <c r="T75">
        <v>0</v>
      </c>
      <c r="V75">
        <v>1</v>
      </c>
      <c r="W75">
        <v>4</v>
      </c>
      <c r="X75">
        <v>0.86399999999999999</v>
      </c>
      <c r="Y75">
        <v>0.5</v>
      </c>
      <c r="Z75">
        <v>0.52400000000000002</v>
      </c>
      <c r="AA75">
        <v>0.86399999999999999</v>
      </c>
      <c r="AB75">
        <v>0.5</v>
      </c>
      <c r="AC75">
        <v>0.52400000000000002</v>
      </c>
      <c r="AD75">
        <v>0.67400000000000004</v>
      </c>
      <c r="AE75">
        <v>0.63</v>
      </c>
      <c r="AF75">
        <v>0</v>
      </c>
    </row>
    <row r="76" spans="1:32" x14ac:dyDescent="0.2">
      <c r="A76">
        <v>2</v>
      </c>
      <c r="B76">
        <v>4</v>
      </c>
      <c r="C76">
        <v>0.79100000000000004</v>
      </c>
      <c r="D76">
        <v>0.54</v>
      </c>
      <c r="E76">
        <v>0.79100000000000004</v>
      </c>
      <c r="F76">
        <v>0.54</v>
      </c>
      <c r="G76">
        <v>0.23400000000000001</v>
      </c>
      <c r="H76">
        <v>0</v>
      </c>
      <c r="J76">
        <v>2</v>
      </c>
      <c r="K76">
        <v>5</v>
      </c>
      <c r="L76">
        <v>0.98799999999999999</v>
      </c>
      <c r="M76">
        <v>0.74</v>
      </c>
      <c r="N76">
        <v>1</v>
      </c>
      <c r="O76">
        <v>0.98799999999999999</v>
      </c>
      <c r="P76">
        <v>0.74</v>
      </c>
      <c r="Q76">
        <v>1</v>
      </c>
      <c r="R76">
        <v>0.51900000000000002</v>
      </c>
      <c r="S76">
        <v>0.5</v>
      </c>
      <c r="T76">
        <v>1</v>
      </c>
      <c r="V76">
        <v>2</v>
      </c>
      <c r="W76">
        <v>5</v>
      </c>
      <c r="X76">
        <v>0.98799999999999999</v>
      </c>
      <c r="Y76">
        <v>0.74</v>
      </c>
      <c r="Z76">
        <v>1</v>
      </c>
      <c r="AA76">
        <v>0.98799999999999999</v>
      </c>
      <c r="AB76">
        <v>0.74</v>
      </c>
      <c r="AC76">
        <v>1</v>
      </c>
      <c r="AD76">
        <v>0.51900000000000002</v>
      </c>
      <c r="AE76">
        <v>0.5</v>
      </c>
      <c r="AF76">
        <v>1</v>
      </c>
    </row>
    <row r="77" spans="1:32" x14ac:dyDescent="0.2">
      <c r="A77">
        <v>3</v>
      </c>
      <c r="B77">
        <v>4</v>
      </c>
      <c r="C77">
        <v>0.93400000000000005</v>
      </c>
      <c r="D77">
        <v>0.3</v>
      </c>
      <c r="E77">
        <v>0.93400000000000005</v>
      </c>
      <c r="F77">
        <v>0.3</v>
      </c>
      <c r="G77">
        <v>5.8000000000000003E-2</v>
      </c>
      <c r="H77">
        <v>0.02</v>
      </c>
      <c r="J77">
        <v>3</v>
      </c>
      <c r="K77">
        <v>4</v>
      </c>
      <c r="L77">
        <v>0.79100000000000004</v>
      </c>
      <c r="M77">
        <v>0.54</v>
      </c>
      <c r="N77">
        <v>1</v>
      </c>
      <c r="O77">
        <v>0.79100000000000004</v>
      </c>
      <c r="P77">
        <v>0.54</v>
      </c>
      <c r="Q77">
        <v>1</v>
      </c>
      <c r="R77">
        <v>0.56399999999999995</v>
      </c>
      <c r="S77">
        <v>0.53</v>
      </c>
      <c r="T77">
        <v>0</v>
      </c>
      <c r="V77">
        <v>3</v>
      </c>
      <c r="W77">
        <v>4</v>
      </c>
      <c r="X77">
        <v>0.79100000000000004</v>
      </c>
      <c r="Y77">
        <v>0.54</v>
      </c>
      <c r="Z77">
        <v>1</v>
      </c>
      <c r="AA77">
        <v>0.79100000000000004</v>
      </c>
      <c r="AB77">
        <v>0.54</v>
      </c>
      <c r="AC77">
        <v>1</v>
      </c>
      <c r="AD77">
        <v>0.56399999999999995</v>
      </c>
      <c r="AE77">
        <v>0.53</v>
      </c>
      <c r="AF77">
        <v>0</v>
      </c>
    </row>
    <row r="78" spans="1:32" x14ac:dyDescent="0.2">
      <c r="A78">
        <v>4</v>
      </c>
      <c r="B78">
        <v>4</v>
      </c>
      <c r="C78">
        <v>0.98599999999999999</v>
      </c>
      <c r="D78">
        <v>0.92</v>
      </c>
      <c r="E78">
        <v>0.98599999999999999</v>
      </c>
      <c r="F78">
        <v>0.92</v>
      </c>
      <c r="G78">
        <v>0.372</v>
      </c>
      <c r="H78">
        <v>0.36</v>
      </c>
      <c r="J78">
        <v>4</v>
      </c>
      <c r="K78">
        <v>5</v>
      </c>
      <c r="L78">
        <v>0.94599999999999995</v>
      </c>
      <c r="M78">
        <v>0.47</v>
      </c>
      <c r="N78">
        <v>0.95199999999999996</v>
      </c>
      <c r="O78">
        <v>0.94</v>
      </c>
      <c r="P78">
        <v>0.35</v>
      </c>
      <c r="Q78">
        <v>0.95199999999999996</v>
      </c>
      <c r="R78">
        <v>0.79100000000000004</v>
      </c>
      <c r="S78">
        <v>0.78</v>
      </c>
      <c r="T78">
        <v>0</v>
      </c>
      <c r="V78">
        <v>4</v>
      </c>
      <c r="W78">
        <v>5</v>
      </c>
      <c r="X78">
        <v>0.94599999999999995</v>
      </c>
      <c r="Y78">
        <v>0.47</v>
      </c>
      <c r="Z78">
        <v>0.95199999999999996</v>
      </c>
      <c r="AA78">
        <v>0.94</v>
      </c>
      <c r="AB78">
        <v>0.35</v>
      </c>
      <c r="AC78">
        <v>0.95199999999999996</v>
      </c>
      <c r="AD78">
        <v>0.79100000000000004</v>
      </c>
      <c r="AE78">
        <v>0.78</v>
      </c>
      <c r="AF78">
        <v>0</v>
      </c>
    </row>
    <row r="79" spans="1:32" x14ac:dyDescent="0.2">
      <c r="J79">
        <v>5</v>
      </c>
      <c r="K79">
        <v>4</v>
      </c>
      <c r="L79">
        <v>0.98599999999999999</v>
      </c>
      <c r="M79">
        <v>0.92</v>
      </c>
      <c r="N79">
        <v>1</v>
      </c>
      <c r="O79">
        <v>0.98599999999999999</v>
      </c>
      <c r="P79">
        <v>0.92</v>
      </c>
      <c r="Q79">
        <v>1</v>
      </c>
      <c r="R79">
        <v>0.372</v>
      </c>
      <c r="S79">
        <v>0.36</v>
      </c>
      <c r="T79">
        <v>1</v>
      </c>
      <c r="V79">
        <v>5</v>
      </c>
      <c r="W79">
        <v>4</v>
      </c>
      <c r="X79">
        <v>0.98599999999999999</v>
      </c>
      <c r="Y79">
        <v>0.92</v>
      </c>
      <c r="Z79">
        <v>1</v>
      </c>
      <c r="AA79">
        <v>0.98599999999999999</v>
      </c>
      <c r="AB79">
        <v>0.92</v>
      </c>
      <c r="AC79">
        <v>1</v>
      </c>
      <c r="AD79">
        <v>0.372</v>
      </c>
      <c r="AE79">
        <v>0.36</v>
      </c>
      <c r="AF79">
        <v>1</v>
      </c>
    </row>
    <row r="84" spans="1:32" x14ac:dyDescent="0.2">
      <c r="A84">
        <f>COUNT(A86:A90)</f>
        <v>2</v>
      </c>
      <c r="B84">
        <f>COUNTIF(B86:B90,"&gt;4")</f>
        <v>2</v>
      </c>
      <c r="D84" t="s">
        <v>0</v>
      </c>
      <c r="E84" t="s">
        <v>1</v>
      </c>
      <c r="F84" t="s">
        <v>0</v>
      </c>
      <c r="G84" t="s">
        <v>2</v>
      </c>
      <c r="H84" t="s">
        <v>0</v>
      </c>
      <c r="I84" t="s">
        <v>0</v>
      </c>
      <c r="J84">
        <f>COUNT(J86:J90)</f>
        <v>3</v>
      </c>
      <c r="K84">
        <f>COUNTIF(K86:K90,"&gt;4")</f>
        <v>2</v>
      </c>
      <c r="M84">
        <f>COUNTIF(M86:M90,1)</f>
        <v>0</v>
      </c>
      <c r="N84">
        <f>COUNTIF(N86:N90,1)</f>
        <v>2</v>
      </c>
      <c r="O84">
        <f>COUNTIF(O86:O90,"&gt;0")</f>
        <v>3</v>
      </c>
      <c r="P84">
        <f>COUNTIF(P86:P90,1)</f>
        <v>0</v>
      </c>
      <c r="Q84">
        <f>COUNTIF(Q86:Q90,1)</f>
        <v>2</v>
      </c>
      <c r="S84">
        <f>COUNTIF(S86:S90,1)</f>
        <v>0</v>
      </c>
      <c r="T84">
        <f>COUNTIFS(T86:T90,1,K86:K90,"&gt;4")</f>
        <v>2</v>
      </c>
      <c r="U84" t="s">
        <v>0</v>
      </c>
      <c r="V84">
        <f>COUNT(V86:V90)</f>
        <v>2</v>
      </c>
      <c r="W84">
        <f>COUNTIF(W86:W90,"&gt;4")</f>
        <v>2</v>
      </c>
      <c r="Y84">
        <f>COUNTIF(Y86:Y90,1)</f>
        <v>0</v>
      </c>
      <c r="Z84">
        <f>COUNTIF(Z86:Z90,1)</f>
        <v>2</v>
      </c>
      <c r="AA84">
        <f>COUNTIF(AA86:AA90,"&gt;0")</f>
        <v>2</v>
      </c>
      <c r="AB84">
        <f>COUNTIF(AB86:AB90,1)</f>
        <v>0</v>
      </c>
      <c r="AC84">
        <f>COUNTIF(AC86:AC90,1)</f>
        <v>2</v>
      </c>
      <c r="AE84">
        <f>COUNTIF(AE86:AE90,1)</f>
        <v>0</v>
      </c>
      <c r="AF84">
        <f>COUNTIFS(AF86:AF90,1,W86:W90,"&gt;4")</f>
        <v>2</v>
      </c>
    </row>
    <row r="85" spans="1:32" x14ac:dyDescent="0.2">
      <c r="A85" t="s">
        <v>3</v>
      </c>
      <c r="B85" t="s">
        <v>4</v>
      </c>
      <c r="C85" t="s">
        <v>5</v>
      </c>
      <c r="D85" t="s">
        <v>6</v>
      </c>
      <c r="E85" t="s">
        <v>5</v>
      </c>
      <c r="F85" t="s">
        <v>6</v>
      </c>
      <c r="G85" t="s">
        <v>5</v>
      </c>
      <c r="H85" t="s">
        <v>6</v>
      </c>
      <c r="I85" t="s">
        <v>0</v>
      </c>
      <c r="J85" t="s">
        <v>3</v>
      </c>
      <c r="K85" t="s">
        <v>4</v>
      </c>
      <c r="L85" t="s">
        <v>5</v>
      </c>
      <c r="M85" t="s">
        <v>6</v>
      </c>
      <c r="N85" t="s">
        <v>7</v>
      </c>
      <c r="O85" t="s">
        <v>5</v>
      </c>
      <c r="P85" t="s">
        <v>6</v>
      </c>
      <c r="Q85" t="s">
        <v>8</v>
      </c>
      <c r="R85" t="s">
        <v>5</v>
      </c>
      <c r="S85" t="s">
        <v>6</v>
      </c>
      <c r="T85" t="s">
        <v>7</v>
      </c>
      <c r="U85" t="s">
        <v>0</v>
      </c>
      <c r="V85" t="s">
        <v>9</v>
      </c>
      <c r="W85" t="s">
        <v>4</v>
      </c>
      <c r="X85" t="s">
        <v>5</v>
      </c>
      <c r="Y85" t="s">
        <v>6</v>
      </c>
      <c r="Z85" t="s">
        <v>7</v>
      </c>
      <c r="AA85" t="s">
        <v>5</v>
      </c>
      <c r="AB85" t="s">
        <v>6</v>
      </c>
      <c r="AC85" t="s">
        <v>7</v>
      </c>
      <c r="AD85" t="s">
        <v>5</v>
      </c>
      <c r="AE85" t="s">
        <v>6</v>
      </c>
      <c r="AF85" t="s">
        <v>7</v>
      </c>
    </row>
    <row r="86" spans="1:32" x14ac:dyDescent="0.2">
      <c r="A86">
        <v>1</v>
      </c>
      <c r="B86">
        <v>7</v>
      </c>
      <c r="C86">
        <v>0.995</v>
      </c>
      <c r="D86">
        <v>0.95</v>
      </c>
      <c r="E86">
        <v>0.995</v>
      </c>
      <c r="F86">
        <v>0.95</v>
      </c>
      <c r="G86">
        <v>0.99099999999999999</v>
      </c>
      <c r="H86">
        <v>0.99</v>
      </c>
      <c r="J86">
        <v>1</v>
      </c>
      <c r="K86">
        <v>4</v>
      </c>
      <c r="L86">
        <v>0.745</v>
      </c>
      <c r="M86">
        <v>0.33</v>
      </c>
      <c r="N86">
        <v>0.57099999999999995</v>
      </c>
      <c r="O86">
        <v>0.745</v>
      </c>
      <c r="P86">
        <v>0.33</v>
      </c>
      <c r="Q86">
        <v>0.57099999999999995</v>
      </c>
      <c r="R86">
        <v>0.28399999999999997</v>
      </c>
      <c r="S86">
        <v>0.17</v>
      </c>
      <c r="T86">
        <v>0.111</v>
      </c>
      <c r="V86">
        <v>1</v>
      </c>
      <c r="W86">
        <v>7</v>
      </c>
      <c r="X86">
        <v>0.995</v>
      </c>
      <c r="Y86">
        <v>0.95</v>
      </c>
      <c r="Z86">
        <v>1</v>
      </c>
      <c r="AA86">
        <v>0.995</v>
      </c>
      <c r="AB86">
        <v>0.95</v>
      </c>
      <c r="AC86">
        <v>1</v>
      </c>
      <c r="AD86">
        <v>0.99099999999999999</v>
      </c>
      <c r="AE86">
        <v>0.99</v>
      </c>
      <c r="AF86">
        <v>1</v>
      </c>
    </row>
    <row r="87" spans="1:32" x14ac:dyDescent="0.2">
      <c r="A87">
        <v>2</v>
      </c>
      <c r="B87">
        <v>6</v>
      </c>
      <c r="C87">
        <v>0.999</v>
      </c>
      <c r="D87">
        <v>0.98</v>
      </c>
      <c r="E87">
        <v>0.98599999999999999</v>
      </c>
      <c r="F87">
        <v>0.72</v>
      </c>
      <c r="G87">
        <v>0.86199999999999999</v>
      </c>
      <c r="H87">
        <v>0.86</v>
      </c>
      <c r="J87">
        <v>2</v>
      </c>
      <c r="K87">
        <v>7</v>
      </c>
      <c r="L87">
        <v>0.995</v>
      </c>
      <c r="M87">
        <v>0.95</v>
      </c>
      <c r="N87">
        <v>1</v>
      </c>
      <c r="O87">
        <v>0.995</v>
      </c>
      <c r="P87">
        <v>0.95</v>
      </c>
      <c r="Q87">
        <v>1</v>
      </c>
      <c r="R87">
        <v>0.99099999999999999</v>
      </c>
      <c r="S87">
        <v>0.99</v>
      </c>
      <c r="T87">
        <v>1</v>
      </c>
      <c r="V87">
        <v>2</v>
      </c>
      <c r="W87">
        <v>6</v>
      </c>
      <c r="X87">
        <v>0.999</v>
      </c>
      <c r="Y87">
        <v>0.98</v>
      </c>
      <c r="Z87">
        <v>1</v>
      </c>
      <c r="AA87">
        <v>0.98599999999999999</v>
      </c>
      <c r="AB87">
        <v>0.72</v>
      </c>
      <c r="AC87">
        <v>1</v>
      </c>
      <c r="AD87">
        <v>0.86199999999999999</v>
      </c>
      <c r="AE87">
        <v>0.86</v>
      </c>
      <c r="AF87">
        <v>1</v>
      </c>
    </row>
    <row r="88" spans="1:32" x14ac:dyDescent="0.2">
      <c r="J88">
        <v>3</v>
      </c>
      <c r="K88">
        <v>6</v>
      </c>
      <c r="L88">
        <v>0.999</v>
      </c>
      <c r="M88">
        <v>0.98</v>
      </c>
      <c r="N88">
        <v>1</v>
      </c>
      <c r="O88">
        <v>0.98599999999999999</v>
      </c>
      <c r="P88">
        <v>0.72</v>
      </c>
      <c r="Q88">
        <v>1</v>
      </c>
      <c r="R88">
        <v>0.86199999999999999</v>
      </c>
      <c r="S88">
        <v>0.86</v>
      </c>
      <c r="T88">
        <v>1</v>
      </c>
    </row>
    <row r="93" spans="1:32" x14ac:dyDescent="0.2">
      <c r="A93">
        <f>COUNT(A95:A99)</f>
        <v>4</v>
      </c>
      <c r="B93">
        <f>COUNTIF(B95:B99,"&gt;4")</f>
        <v>2</v>
      </c>
      <c r="D93" t="s">
        <v>0</v>
      </c>
      <c r="E93" t="s">
        <v>1</v>
      </c>
      <c r="F93" t="s">
        <v>0</v>
      </c>
      <c r="G93" t="s">
        <v>2</v>
      </c>
      <c r="H93" t="s">
        <v>0</v>
      </c>
      <c r="I93" t="s">
        <v>0</v>
      </c>
      <c r="J93">
        <f>COUNT(J95:J99)</f>
        <v>3</v>
      </c>
      <c r="K93">
        <f>COUNTIF(K95:K99,"&gt;4")</f>
        <v>0</v>
      </c>
      <c r="M93">
        <f>COUNTIF(M95:M99,1)</f>
        <v>0</v>
      </c>
      <c r="N93">
        <f>COUNTIF(N95:N99,1)</f>
        <v>2</v>
      </c>
      <c r="O93">
        <f>COUNTIF(O95:O99,"&gt;0")</f>
        <v>3</v>
      </c>
      <c r="P93">
        <f>COUNTIF(P95:P99,1)</f>
        <v>0</v>
      </c>
      <c r="Q93">
        <f>COUNTIF(Q95:Q99,1)</f>
        <v>2</v>
      </c>
      <c r="S93">
        <f>COUNTIF(S95:S99,1)</f>
        <v>0</v>
      </c>
      <c r="T93">
        <f>COUNTIFS(T95:T99,1,K95:K99,"&gt;4")</f>
        <v>0</v>
      </c>
      <c r="U93" t="s">
        <v>0</v>
      </c>
      <c r="V93">
        <f>COUNT(V95:V99)</f>
        <v>3</v>
      </c>
      <c r="W93">
        <f>COUNTIF(W95:W99,"&gt;4")</f>
        <v>0</v>
      </c>
      <c r="Y93">
        <f>COUNTIF(Y95:Y99,1)</f>
        <v>0</v>
      </c>
      <c r="Z93">
        <f>COUNTIF(Z95:Z99,1)</f>
        <v>2</v>
      </c>
      <c r="AA93">
        <f>COUNTIF(AA95:AA99,"&gt;0")</f>
        <v>3</v>
      </c>
      <c r="AB93">
        <f>COUNTIF(AB95:AB99,1)</f>
        <v>0</v>
      </c>
      <c r="AC93">
        <f>COUNTIF(AC95:AC99,1)</f>
        <v>2</v>
      </c>
      <c r="AE93">
        <f>COUNTIF(AE95:AE99,1)</f>
        <v>0</v>
      </c>
      <c r="AF93">
        <f>COUNTIFS(AF95:AF99,1,W95:W99,"&gt;4")</f>
        <v>0</v>
      </c>
    </row>
    <row r="94" spans="1:32" x14ac:dyDescent="0.2">
      <c r="A94" t="s">
        <v>3</v>
      </c>
      <c r="B94" t="s">
        <v>4</v>
      </c>
      <c r="C94" t="s">
        <v>5</v>
      </c>
      <c r="D94" t="s">
        <v>6</v>
      </c>
      <c r="E94" t="s">
        <v>5</v>
      </c>
      <c r="F94" t="s">
        <v>6</v>
      </c>
      <c r="G94" t="s">
        <v>5</v>
      </c>
      <c r="H94" t="s">
        <v>6</v>
      </c>
      <c r="I94" t="s">
        <v>0</v>
      </c>
      <c r="J94" t="s">
        <v>3</v>
      </c>
      <c r="K94" t="s">
        <v>4</v>
      </c>
      <c r="L94" t="s">
        <v>5</v>
      </c>
      <c r="M94" t="s">
        <v>6</v>
      </c>
      <c r="N94" t="s">
        <v>7</v>
      </c>
      <c r="O94" t="s">
        <v>5</v>
      </c>
      <c r="P94" t="s">
        <v>6</v>
      </c>
      <c r="Q94" t="s">
        <v>8</v>
      </c>
      <c r="R94" t="s">
        <v>5</v>
      </c>
      <c r="S94" t="s">
        <v>6</v>
      </c>
      <c r="T94" t="s">
        <v>7</v>
      </c>
      <c r="U94" t="s">
        <v>0</v>
      </c>
      <c r="V94" t="s">
        <v>9</v>
      </c>
      <c r="W94" t="s">
        <v>4</v>
      </c>
      <c r="X94" t="s">
        <v>5</v>
      </c>
      <c r="Y94" t="s">
        <v>6</v>
      </c>
      <c r="Z94" t="s">
        <v>7</v>
      </c>
      <c r="AA94" t="s">
        <v>5</v>
      </c>
      <c r="AB94" t="s">
        <v>6</v>
      </c>
      <c r="AC94" t="s">
        <v>7</v>
      </c>
      <c r="AD94" t="s">
        <v>5</v>
      </c>
      <c r="AE94" t="s">
        <v>6</v>
      </c>
      <c r="AF94" t="s">
        <v>7</v>
      </c>
    </row>
    <row r="95" spans="1:32" x14ac:dyDescent="0.2">
      <c r="A95">
        <v>1</v>
      </c>
      <c r="B95">
        <v>5</v>
      </c>
      <c r="C95">
        <v>0.94799999999999995</v>
      </c>
      <c r="D95">
        <v>0.11</v>
      </c>
      <c r="E95">
        <v>0.94799999999999995</v>
      </c>
      <c r="F95">
        <v>0.11</v>
      </c>
      <c r="G95">
        <v>0.27400000000000002</v>
      </c>
      <c r="H95">
        <v>0.27</v>
      </c>
      <c r="J95">
        <v>1</v>
      </c>
      <c r="K95">
        <v>4</v>
      </c>
      <c r="L95">
        <v>0.98199999999999998</v>
      </c>
      <c r="M95">
        <v>0.84</v>
      </c>
      <c r="N95">
        <v>0.95199999999999996</v>
      </c>
      <c r="O95">
        <v>0.98199999999999998</v>
      </c>
      <c r="P95">
        <v>0.84</v>
      </c>
      <c r="Q95">
        <v>0.95199999999999996</v>
      </c>
      <c r="R95">
        <v>0.83699999999999997</v>
      </c>
      <c r="S95">
        <v>0.68</v>
      </c>
      <c r="T95">
        <v>0.17399999999999999</v>
      </c>
      <c r="V95">
        <v>1</v>
      </c>
      <c r="W95">
        <v>4</v>
      </c>
      <c r="X95">
        <v>0.98199999999999998</v>
      </c>
      <c r="Y95">
        <v>0.84</v>
      </c>
      <c r="Z95">
        <v>0.95199999999999996</v>
      </c>
      <c r="AA95">
        <v>0.98199999999999998</v>
      </c>
      <c r="AB95">
        <v>0.84</v>
      </c>
      <c r="AC95">
        <v>0.95199999999999996</v>
      </c>
      <c r="AD95">
        <v>0.83699999999999997</v>
      </c>
      <c r="AE95">
        <v>0.68</v>
      </c>
      <c r="AF95">
        <v>0.17399999999999999</v>
      </c>
    </row>
    <row r="96" spans="1:32" x14ac:dyDescent="0.2">
      <c r="A96">
        <v>2</v>
      </c>
      <c r="B96">
        <v>4</v>
      </c>
      <c r="C96">
        <v>0.81100000000000005</v>
      </c>
      <c r="D96">
        <v>0.48</v>
      </c>
      <c r="E96">
        <v>0.81100000000000005</v>
      </c>
      <c r="F96">
        <v>0.48</v>
      </c>
      <c r="G96">
        <v>0.23</v>
      </c>
      <c r="H96">
        <v>0.17</v>
      </c>
      <c r="J96">
        <v>2</v>
      </c>
      <c r="K96">
        <v>4</v>
      </c>
      <c r="L96">
        <v>0.81100000000000005</v>
      </c>
      <c r="M96">
        <v>0.48</v>
      </c>
      <c r="N96">
        <v>1</v>
      </c>
      <c r="O96">
        <v>0.81100000000000005</v>
      </c>
      <c r="P96">
        <v>0.48</v>
      </c>
      <c r="Q96">
        <v>1</v>
      </c>
      <c r="R96">
        <v>0.23</v>
      </c>
      <c r="S96">
        <v>0.17</v>
      </c>
      <c r="T96">
        <v>1</v>
      </c>
      <c r="V96">
        <v>2</v>
      </c>
      <c r="W96">
        <v>4</v>
      </c>
      <c r="X96">
        <v>0.81100000000000005</v>
      </c>
      <c r="Y96">
        <v>0.48</v>
      </c>
      <c r="Z96">
        <v>1</v>
      </c>
      <c r="AA96">
        <v>0.81100000000000005</v>
      </c>
      <c r="AB96">
        <v>0.48</v>
      </c>
      <c r="AC96">
        <v>1</v>
      </c>
      <c r="AD96">
        <v>0.23</v>
      </c>
      <c r="AE96">
        <v>0.17</v>
      </c>
      <c r="AF96">
        <v>1</v>
      </c>
    </row>
    <row r="97" spans="1:32" x14ac:dyDescent="0.2">
      <c r="A97">
        <v>3</v>
      </c>
      <c r="B97">
        <v>4</v>
      </c>
      <c r="C97">
        <v>0.92600000000000005</v>
      </c>
      <c r="D97">
        <v>0.65</v>
      </c>
      <c r="E97">
        <v>0.92600000000000005</v>
      </c>
      <c r="F97">
        <v>0.65</v>
      </c>
      <c r="G97">
        <v>0.68500000000000005</v>
      </c>
      <c r="H97">
        <v>0.65</v>
      </c>
      <c r="J97">
        <v>3</v>
      </c>
      <c r="K97">
        <v>4</v>
      </c>
      <c r="L97">
        <v>0.92600000000000005</v>
      </c>
      <c r="M97">
        <v>0.65</v>
      </c>
      <c r="N97">
        <v>1</v>
      </c>
      <c r="O97">
        <v>0.92600000000000005</v>
      </c>
      <c r="P97">
        <v>0.65</v>
      </c>
      <c r="Q97">
        <v>1</v>
      </c>
      <c r="R97">
        <v>0.68500000000000005</v>
      </c>
      <c r="S97">
        <v>0.65</v>
      </c>
      <c r="T97">
        <v>1</v>
      </c>
      <c r="V97">
        <v>3</v>
      </c>
      <c r="W97">
        <v>4</v>
      </c>
      <c r="X97">
        <v>0.92600000000000005</v>
      </c>
      <c r="Y97">
        <v>0.65</v>
      </c>
      <c r="Z97">
        <v>1</v>
      </c>
      <c r="AA97">
        <v>0.92600000000000005</v>
      </c>
      <c r="AB97">
        <v>0.65</v>
      </c>
      <c r="AC97">
        <v>1</v>
      </c>
      <c r="AD97">
        <v>0.68500000000000005</v>
      </c>
      <c r="AE97">
        <v>0.65</v>
      </c>
      <c r="AF97">
        <v>1</v>
      </c>
    </row>
    <row r="98" spans="1:32" x14ac:dyDescent="0.2">
      <c r="A98">
        <v>4</v>
      </c>
      <c r="B98">
        <v>5</v>
      </c>
      <c r="C98">
        <v>0.77</v>
      </c>
      <c r="D98">
        <v>0.01</v>
      </c>
      <c r="E98">
        <v>0.76600000000000001</v>
      </c>
      <c r="F98">
        <v>0.01</v>
      </c>
      <c r="G98">
        <v>0.48699999999999999</v>
      </c>
      <c r="H98">
        <v>0.43</v>
      </c>
    </row>
    <row r="103" spans="1:32" x14ac:dyDescent="0.2">
      <c r="A103">
        <f>COUNT(A105:A109)</f>
        <v>4</v>
      </c>
      <c r="B103">
        <f>COUNTIF(B105:B109,"&gt;4")</f>
        <v>2</v>
      </c>
      <c r="D103" t="s">
        <v>0</v>
      </c>
      <c r="E103" t="s">
        <v>1</v>
      </c>
      <c r="F103" t="s">
        <v>0</v>
      </c>
      <c r="G103" t="s">
        <v>2</v>
      </c>
      <c r="H103" t="s">
        <v>0</v>
      </c>
      <c r="I103" t="s">
        <v>0</v>
      </c>
      <c r="J103">
        <f>COUNT(J105:J109)</f>
        <v>2</v>
      </c>
      <c r="K103">
        <f>COUNTIF(K105:K109,"&gt;4")</f>
        <v>0</v>
      </c>
      <c r="M103">
        <f>COUNTIF(M105:M109,1)</f>
        <v>0</v>
      </c>
      <c r="N103">
        <f>COUNTIF(N105:N109,1)</f>
        <v>0</v>
      </c>
      <c r="O103">
        <f>COUNTIF(O105:O109,"&gt;0")</f>
        <v>2</v>
      </c>
      <c r="P103">
        <f>COUNTIF(P105:P109,1)</f>
        <v>0</v>
      </c>
      <c r="Q103">
        <f>COUNTIF(Q105:Q109,1)</f>
        <v>0</v>
      </c>
      <c r="S103">
        <f>COUNTIF(S105:S109,1)</f>
        <v>0</v>
      </c>
      <c r="T103">
        <f>COUNTIFS(T105:T109,1,K105:K109,"&gt;4")</f>
        <v>0</v>
      </c>
      <c r="U103" t="s">
        <v>0</v>
      </c>
      <c r="V103">
        <f>COUNT(V105:V109)</f>
        <v>4</v>
      </c>
      <c r="W103">
        <f>COUNTIF(W105:W109,"&gt;4")</f>
        <v>2</v>
      </c>
      <c r="Y103">
        <f>COUNTIF(Y105:Y109,1)</f>
        <v>0</v>
      </c>
      <c r="Z103">
        <f>COUNTIF(Z105:Z109,1)</f>
        <v>3</v>
      </c>
      <c r="AA103">
        <f>COUNTIF(AA105:AA109,"&gt;0")</f>
        <v>4</v>
      </c>
      <c r="AB103">
        <f>COUNTIF(AB105:AB109,1)</f>
        <v>0</v>
      </c>
      <c r="AC103">
        <f>COUNTIF(AC105:AC109,1)</f>
        <v>2</v>
      </c>
      <c r="AE103">
        <f>COUNTIF(AE105:AE109,1)</f>
        <v>0</v>
      </c>
      <c r="AF103">
        <f>COUNTIFS(AF105:AF109,1,W105:W109,"&gt;4")</f>
        <v>2</v>
      </c>
    </row>
    <row r="104" spans="1:32" x14ac:dyDescent="0.2">
      <c r="A104" t="s">
        <v>3</v>
      </c>
      <c r="B104" t="s">
        <v>4</v>
      </c>
      <c r="C104" t="s">
        <v>5</v>
      </c>
      <c r="D104" t="s">
        <v>6</v>
      </c>
      <c r="E104" t="s">
        <v>5</v>
      </c>
      <c r="F104" t="s">
        <v>6</v>
      </c>
      <c r="G104" t="s">
        <v>5</v>
      </c>
      <c r="H104" t="s">
        <v>6</v>
      </c>
      <c r="I104" t="s">
        <v>0</v>
      </c>
      <c r="J104" t="s">
        <v>3</v>
      </c>
      <c r="K104" t="s">
        <v>4</v>
      </c>
      <c r="L104" t="s">
        <v>5</v>
      </c>
      <c r="M104" t="s">
        <v>6</v>
      </c>
      <c r="N104" t="s">
        <v>7</v>
      </c>
      <c r="O104" t="s">
        <v>5</v>
      </c>
      <c r="P104" t="s">
        <v>6</v>
      </c>
      <c r="Q104" t="s">
        <v>8</v>
      </c>
      <c r="R104" t="s">
        <v>5</v>
      </c>
      <c r="S104" t="s">
        <v>6</v>
      </c>
      <c r="T104" t="s">
        <v>7</v>
      </c>
      <c r="U104" t="s">
        <v>0</v>
      </c>
      <c r="V104" t="s">
        <v>9</v>
      </c>
      <c r="W104" t="s">
        <v>4</v>
      </c>
      <c r="X104" t="s">
        <v>5</v>
      </c>
      <c r="Y104" t="s">
        <v>6</v>
      </c>
      <c r="Z104" t="s">
        <v>7</v>
      </c>
      <c r="AA104" t="s">
        <v>5</v>
      </c>
      <c r="AB104" t="s">
        <v>6</v>
      </c>
      <c r="AC104" t="s">
        <v>7</v>
      </c>
      <c r="AD104" t="s">
        <v>5</v>
      </c>
      <c r="AE104" t="s">
        <v>6</v>
      </c>
      <c r="AF104" t="s">
        <v>7</v>
      </c>
    </row>
    <row r="105" spans="1:32" x14ac:dyDescent="0.2">
      <c r="A105">
        <v>1</v>
      </c>
      <c r="B105">
        <v>5</v>
      </c>
      <c r="C105">
        <v>0.98599999999999999</v>
      </c>
      <c r="D105">
        <v>0.73</v>
      </c>
      <c r="E105">
        <v>0.96399999999999997</v>
      </c>
      <c r="F105">
        <v>0.32</v>
      </c>
      <c r="G105">
        <v>0.56599999999999995</v>
      </c>
      <c r="H105">
        <v>0.42</v>
      </c>
      <c r="J105">
        <v>1</v>
      </c>
      <c r="K105">
        <v>4</v>
      </c>
      <c r="L105">
        <v>0.95599999999999996</v>
      </c>
      <c r="M105">
        <v>0.19</v>
      </c>
      <c r="N105">
        <v>0.95199999999999996</v>
      </c>
      <c r="O105">
        <v>0.95599999999999996</v>
      </c>
      <c r="P105">
        <v>0.19</v>
      </c>
      <c r="Q105">
        <v>0.95199999999999996</v>
      </c>
      <c r="R105">
        <v>0.23400000000000001</v>
      </c>
      <c r="S105">
        <v>0.17</v>
      </c>
      <c r="T105">
        <v>0</v>
      </c>
      <c r="V105">
        <v>1</v>
      </c>
      <c r="W105">
        <v>5</v>
      </c>
      <c r="X105">
        <v>0.98599999999999999</v>
      </c>
      <c r="Y105">
        <v>0.73</v>
      </c>
      <c r="Z105">
        <v>1</v>
      </c>
      <c r="AA105">
        <v>0.96899999999999997</v>
      </c>
      <c r="AB105">
        <v>0.41</v>
      </c>
      <c r="AC105">
        <v>0.95199999999999996</v>
      </c>
      <c r="AD105">
        <v>0.56599999999999995</v>
      </c>
      <c r="AE105">
        <v>0.42</v>
      </c>
      <c r="AF105">
        <v>1</v>
      </c>
    </row>
    <row r="106" spans="1:32" x14ac:dyDescent="0.2">
      <c r="A106">
        <v>2</v>
      </c>
      <c r="B106">
        <v>4</v>
      </c>
      <c r="C106">
        <v>0.69899999999999995</v>
      </c>
      <c r="D106">
        <v>0.17</v>
      </c>
      <c r="E106">
        <v>0.69899999999999995</v>
      </c>
      <c r="F106">
        <v>0.17</v>
      </c>
      <c r="G106">
        <v>7.5999999999999998E-2</v>
      </c>
      <c r="H106">
        <v>0</v>
      </c>
      <c r="J106">
        <v>2</v>
      </c>
      <c r="K106">
        <v>4</v>
      </c>
      <c r="L106">
        <v>0.80300000000000005</v>
      </c>
      <c r="M106">
        <v>0.26</v>
      </c>
      <c r="N106">
        <v>0.76200000000000001</v>
      </c>
      <c r="O106">
        <v>0.80300000000000005</v>
      </c>
      <c r="P106">
        <v>0.26</v>
      </c>
      <c r="Q106">
        <v>0.76200000000000001</v>
      </c>
      <c r="R106">
        <v>0.95</v>
      </c>
      <c r="S106">
        <v>0.95</v>
      </c>
      <c r="T106">
        <v>1</v>
      </c>
      <c r="V106">
        <v>2</v>
      </c>
      <c r="W106">
        <v>4</v>
      </c>
      <c r="X106">
        <v>0.753</v>
      </c>
      <c r="Y106">
        <v>0.39</v>
      </c>
      <c r="Z106">
        <v>0.81</v>
      </c>
      <c r="AA106">
        <v>0.752</v>
      </c>
      <c r="AB106">
        <v>0.38</v>
      </c>
      <c r="AC106">
        <v>0.81</v>
      </c>
      <c r="AD106">
        <v>0.33200000000000002</v>
      </c>
      <c r="AE106">
        <v>0.28999999999999998</v>
      </c>
      <c r="AF106">
        <v>0.154</v>
      </c>
    </row>
    <row r="107" spans="1:32" x14ac:dyDescent="0.2">
      <c r="A107">
        <v>3</v>
      </c>
      <c r="B107">
        <v>5</v>
      </c>
      <c r="C107">
        <v>0.90900000000000003</v>
      </c>
      <c r="D107">
        <v>0.64</v>
      </c>
      <c r="E107">
        <v>0.90900000000000003</v>
      </c>
      <c r="F107">
        <v>0.64</v>
      </c>
      <c r="G107">
        <v>0.95</v>
      </c>
      <c r="H107">
        <v>0.95</v>
      </c>
      <c r="V107">
        <v>3</v>
      </c>
      <c r="W107">
        <v>5</v>
      </c>
      <c r="X107">
        <v>0.90900000000000003</v>
      </c>
      <c r="Y107">
        <v>0.64</v>
      </c>
      <c r="Z107">
        <v>1</v>
      </c>
      <c r="AA107">
        <v>0.90900000000000003</v>
      </c>
      <c r="AB107">
        <v>0.64</v>
      </c>
      <c r="AC107">
        <v>1</v>
      </c>
      <c r="AD107">
        <v>0.95</v>
      </c>
      <c r="AE107">
        <v>0.95</v>
      </c>
      <c r="AF107">
        <v>1</v>
      </c>
    </row>
    <row r="108" spans="1:32" x14ac:dyDescent="0.2">
      <c r="A108">
        <v>4</v>
      </c>
      <c r="B108">
        <v>4</v>
      </c>
      <c r="C108">
        <v>0.79800000000000004</v>
      </c>
      <c r="D108">
        <v>0.43</v>
      </c>
      <c r="E108">
        <v>0.79800000000000004</v>
      </c>
      <c r="F108">
        <v>0.43</v>
      </c>
      <c r="G108">
        <v>0.16600000000000001</v>
      </c>
      <c r="H108">
        <v>7.0000000000000007E-2</v>
      </c>
      <c r="V108">
        <v>4</v>
      </c>
      <c r="W108">
        <v>4</v>
      </c>
      <c r="X108">
        <v>0.79800000000000004</v>
      </c>
      <c r="Y108">
        <v>0.43</v>
      </c>
      <c r="Z108">
        <v>1</v>
      </c>
      <c r="AA108">
        <v>0.79800000000000004</v>
      </c>
      <c r="AB108">
        <v>0.43</v>
      </c>
      <c r="AC108">
        <v>1</v>
      </c>
      <c r="AD108">
        <v>0.56100000000000005</v>
      </c>
      <c r="AE108">
        <v>0.25</v>
      </c>
      <c r="AF108">
        <v>0.8</v>
      </c>
    </row>
    <row r="113" spans="1:32" x14ac:dyDescent="0.2">
      <c r="A113">
        <f>COUNT(A115:A119)</f>
        <v>2</v>
      </c>
      <c r="B113">
        <f>COUNTIF(B115:B119,"&gt;4")</f>
        <v>2</v>
      </c>
      <c r="D113" t="s">
        <v>0</v>
      </c>
      <c r="E113" t="s">
        <v>1</v>
      </c>
      <c r="F113" t="s">
        <v>0</v>
      </c>
      <c r="G113" t="s">
        <v>2</v>
      </c>
      <c r="H113" t="s">
        <v>0</v>
      </c>
      <c r="I113" t="s">
        <v>0</v>
      </c>
      <c r="J113">
        <f>COUNT(J115:J119)</f>
        <v>2</v>
      </c>
      <c r="K113">
        <f>COUNTIF(K115:K119,"&gt;4")</f>
        <v>2</v>
      </c>
      <c r="M113">
        <f>COUNTIF(M115:M119,1)</f>
        <v>0</v>
      </c>
      <c r="N113">
        <f>COUNTIF(N115:N119,1)</f>
        <v>2</v>
      </c>
      <c r="O113">
        <f>COUNTIF(O115:O119,"&gt;0")</f>
        <v>2</v>
      </c>
      <c r="P113">
        <f>COUNTIF(P115:P119,1)</f>
        <v>0</v>
      </c>
      <c r="Q113">
        <f>COUNTIF(Q115:Q119,1)</f>
        <v>2</v>
      </c>
      <c r="S113">
        <f>COUNTIF(S115:S119,1)</f>
        <v>0</v>
      </c>
      <c r="T113">
        <f>COUNTIFS(T115:T119,1,K115:K119,"&gt;4")</f>
        <v>2</v>
      </c>
      <c r="U113" t="s">
        <v>0</v>
      </c>
      <c r="V113">
        <f>COUNT(V115:V119)</f>
        <v>3</v>
      </c>
      <c r="W113">
        <f>COUNTIF(W115:W119,"&gt;4")</f>
        <v>2</v>
      </c>
      <c r="Y113">
        <f>COUNTIF(Y115:Y119,1)</f>
        <v>0</v>
      </c>
      <c r="Z113">
        <f>COUNTIF(Z115:Z119,1)</f>
        <v>2</v>
      </c>
      <c r="AA113">
        <f>COUNTIF(AA115:AA119,"&gt;0")</f>
        <v>3</v>
      </c>
      <c r="AB113">
        <f>COUNTIF(AB115:AB119,1)</f>
        <v>0</v>
      </c>
      <c r="AC113">
        <f>COUNTIF(AC115:AC119,1)</f>
        <v>2</v>
      </c>
      <c r="AE113">
        <f>COUNTIF(AE115:AE119,1)</f>
        <v>0</v>
      </c>
      <c r="AF113">
        <f>COUNTIFS(AF115:AF119,1,W115:W119,"&gt;4")</f>
        <v>2</v>
      </c>
    </row>
    <row r="114" spans="1:32" x14ac:dyDescent="0.2">
      <c r="A114" t="s">
        <v>3</v>
      </c>
      <c r="B114" t="s">
        <v>4</v>
      </c>
      <c r="C114" t="s">
        <v>5</v>
      </c>
      <c r="D114" t="s">
        <v>6</v>
      </c>
      <c r="E114" t="s">
        <v>5</v>
      </c>
      <c r="F114" t="s">
        <v>6</v>
      </c>
      <c r="G114" t="s">
        <v>5</v>
      </c>
      <c r="H114" t="s">
        <v>6</v>
      </c>
      <c r="I114" t="s">
        <v>0</v>
      </c>
      <c r="J114" t="s">
        <v>3</v>
      </c>
      <c r="K114" t="s">
        <v>4</v>
      </c>
      <c r="L114" t="s">
        <v>5</v>
      </c>
      <c r="M114" t="s">
        <v>6</v>
      </c>
      <c r="N114" t="s">
        <v>7</v>
      </c>
      <c r="O114" t="s">
        <v>5</v>
      </c>
      <c r="P114" t="s">
        <v>6</v>
      </c>
      <c r="Q114" t="s">
        <v>8</v>
      </c>
      <c r="R114" t="s">
        <v>5</v>
      </c>
      <c r="S114" t="s">
        <v>6</v>
      </c>
      <c r="T114" t="s">
        <v>7</v>
      </c>
      <c r="U114" t="s">
        <v>0</v>
      </c>
      <c r="V114" t="s">
        <v>9</v>
      </c>
      <c r="W114" t="s">
        <v>4</v>
      </c>
      <c r="X114" t="s">
        <v>5</v>
      </c>
      <c r="Y114" t="s">
        <v>6</v>
      </c>
      <c r="Z114" t="s">
        <v>7</v>
      </c>
      <c r="AA114" t="s">
        <v>5</v>
      </c>
      <c r="AB114" t="s">
        <v>6</v>
      </c>
      <c r="AC114" t="s">
        <v>7</v>
      </c>
      <c r="AD114" t="s">
        <v>5</v>
      </c>
      <c r="AE114" t="s">
        <v>6</v>
      </c>
      <c r="AF114" t="s">
        <v>7</v>
      </c>
    </row>
    <row r="115" spans="1:32" x14ac:dyDescent="0.2">
      <c r="A115">
        <v>1</v>
      </c>
      <c r="B115">
        <v>7</v>
      </c>
      <c r="C115">
        <v>0.99399999999999999</v>
      </c>
      <c r="D115">
        <v>0.9</v>
      </c>
      <c r="E115">
        <v>0.99399999999999999</v>
      </c>
      <c r="F115">
        <v>0.9</v>
      </c>
      <c r="G115">
        <v>0.99</v>
      </c>
      <c r="H115">
        <v>0.99</v>
      </c>
      <c r="J115">
        <v>1</v>
      </c>
      <c r="K115">
        <v>7</v>
      </c>
      <c r="L115">
        <v>0.99399999999999999</v>
      </c>
      <c r="M115">
        <v>0.9</v>
      </c>
      <c r="N115">
        <v>1</v>
      </c>
      <c r="O115">
        <v>0.99399999999999999</v>
      </c>
      <c r="P115">
        <v>0.9</v>
      </c>
      <c r="Q115">
        <v>1</v>
      </c>
      <c r="R115">
        <v>0.99</v>
      </c>
      <c r="S115">
        <v>0.99</v>
      </c>
      <c r="T115">
        <v>1</v>
      </c>
      <c r="V115">
        <v>1</v>
      </c>
      <c r="W115">
        <v>7</v>
      </c>
      <c r="X115">
        <v>0.99399999999999999</v>
      </c>
      <c r="Y115">
        <v>0.9</v>
      </c>
      <c r="Z115">
        <v>1</v>
      </c>
      <c r="AA115">
        <v>0.99399999999999999</v>
      </c>
      <c r="AB115">
        <v>0.9</v>
      </c>
      <c r="AC115">
        <v>1</v>
      </c>
      <c r="AD115">
        <v>0.99</v>
      </c>
      <c r="AE115">
        <v>0.99</v>
      </c>
      <c r="AF115">
        <v>1</v>
      </c>
    </row>
    <row r="116" spans="1:32" x14ac:dyDescent="0.2">
      <c r="A116">
        <v>2</v>
      </c>
      <c r="B116">
        <v>6</v>
      </c>
      <c r="C116">
        <v>0.97</v>
      </c>
      <c r="D116">
        <v>0.57999999999999996</v>
      </c>
      <c r="E116">
        <v>0.97</v>
      </c>
      <c r="F116">
        <v>0.57999999999999996</v>
      </c>
      <c r="G116">
        <v>0.98</v>
      </c>
      <c r="H116">
        <v>0.98</v>
      </c>
      <c r="J116">
        <v>2</v>
      </c>
      <c r="K116">
        <v>6</v>
      </c>
      <c r="L116">
        <v>0.97</v>
      </c>
      <c r="M116">
        <v>0.57999999999999996</v>
      </c>
      <c r="N116">
        <v>1</v>
      </c>
      <c r="O116">
        <v>0.97</v>
      </c>
      <c r="P116">
        <v>0.57999999999999996</v>
      </c>
      <c r="Q116">
        <v>1</v>
      </c>
      <c r="R116">
        <v>0.98</v>
      </c>
      <c r="S116">
        <v>0.98</v>
      </c>
      <c r="T116">
        <v>1</v>
      </c>
      <c r="V116">
        <v>2</v>
      </c>
      <c r="W116">
        <v>4</v>
      </c>
      <c r="X116">
        <v>0.82499999999999996</v>
      </c>
      <c r="Y116">
        <v>0.45</v>
      </c>
      <c r="Z116">
        <v>0.61899999999999999</v>
      </c>
      <c r="AA116">
        <v>0.81899999999999995</v>
      </c>
      <c r="AB116">
        <v>0.34</v>
      </c>
      <c r="AC116">
        <v>0.61899999999999999</v>
      </c>
      <c r="AD116">
        <v>0.65200000000000002</v>
      </c>
      <c r="AE116">
        <v>0.42</v>
      </c>
      <c r="AF116">
        <v>0.2</v>
      </c>
    </row>
    <row r="117" spans="1:32" x14ac:dyDescent="0.2">
      <c r="V117">
        <v>3</v>
      </c>
      <c r="W117">
        <v>6</v>
      </c>
      <c r="X117">
        <v>0.97</v>
      </c>
      <c r="Y117">
        <v>0.57999999999999996</v>
      </c>
      <c r="Z117">
        <v>1</v>
      </c>
      <c r="AA117">
        <v>0.97</v>
      </c>
      <c r="AB117">
        <v>0.57999999999999996</v>
      </c>
      <c r="AC117">
        <v>1</v>
      </c>
      <c r="AD117">
        <v>0.98</v>
      </c>
      <c r="AE117">
        <v>0.98</v>
      </c>
      <c r="AF117">
        <v>1</v>
      </c>
    </row>
    <row r="122" spans="1:32" x14ac:dyDescent="0.2">
      <c r="A122">
        <f>COUNT(A124:A128)</f>
        <v>4</v>
      </c>
      <c r="B122">
        <f>COUNTIF(B124:B128,"&gt;4")</f>
        <v>1</v>
      </c>
      <c r="D122" t="s">
        <v>0</v>
      </c>
      <c r="E122" t="s">
        <v>1</v>
      </c>
      <c r="F122" t="s">
        <v>0</v>
      </c>
      <c r="G122" t="s">
        <v>2</v>
      </c>
      <c r="H122" t="s">
        <v>0</v>
      </c>
      <c r="I122" t="s">
        <v>0</v>
      </c>
      <c r="J122">
        <f>COUNT(J124:J128)</f>
        <v>3</v>
      </c>
      <c r="K122">
        <f>COUNTIF(K124:K128,"&gt;4")</f>
        <v>1</v>
      </c>
      <c r="M122">
        <f>COUNTIF(M124:M128,1)</f>
        <v>0</v>
      </c>
      <c r="N122">
        <f>COUNTIF(N124:N128,1)</f>
        <v>3</v>
      </c>
      <c r="O122">
        <f>COUNTIF(O124:O128,"&gt;0")</f>
        <v>3</v>
      </c>
      <c r="P122">
        <f>COUNTIF(P124:P128,1)</f>
        <v>0</v>
      </c>
      <c r="Q122">
        <f>COUNTIF(Q124:Q128,1)</f>
        <v>3</v>
      </c>
      <c r="S122">
        <f>COUNTIF(S124:S128,1)</f>
        <v>0</v>
      </c>
      <c r="T122">
        <f>COUNTIFS(T124:T128,1,K124:K128,"&gt;4")</f>
        <v>0</v>
      </c>
      <c r="U122" t="s">
        <v>0</v>
      </c>
      <c r="V122">
        <f>COUNT(V124:V128)</f>
        <v>3</v>
      </c>
      <c r="W122">
        <f>COUNTIF(W124:W128,"&gt;4")</f>
        <v>1</v>
      </c>
      <c r="Y122">
        <f>COUNTIF(Y124:Y128,1)</f>
        <v>0</v>
      </c>
      <c r="Z122">
        <f>COUNTIF(Z124:Z128,1)</f>
        <v>3</v>
      </c>
      <c r="AA122">
        <f>COUNTIF(AA124:AA128,"&gt;0")</f>
        <v>3</v>
      </c>
      <c r="AB122">
        <f>COUNTIF(AB124:AB128,1)</f>
        <v>0</v>
      </c>
      <c r="AC122">
        <f>COUNTIF(AC124:AC128,1)</f>
        <v>3</v>
      </c>
      <c r="AE122">
        <f>COUNTIF(AE124:AE128,1)</f>
        <v>0</v>
      </c>
      <c r="AF122">
        <f>COUNTIFS(AF124:AF128,1,W124:W128,"&gt;4")</f>
        <v>0</v>
      </c>
    </row>
    <row r="123" spans="1:32" x14ac:dyDescent="0.2">
      <c r="A123" t="s">
        <v>3</v>
      </c>
      <c r="B123" t="s">
        <v>4</v>
      </c>
      <c r="C123" t="s">
        <v>5</v>
      </c>
      <c r="D123" t="s">
        <v>6</v>
      </c>
      <c r="E123" t="s">
        <v>5</v>
      </c>
      <c r="F123" t="s">
        <v>6</v>
      </c>
      <c r="G123" t="s">
        <v>5</v>
      </c>
      <c r="H123" t="s">
        <v>6</v>
      </c>
      <c r="I123" t="s">
        <v>0</v>
      </c>
      <c r="J123" t="s">
        <v>3</v>
      </c>
      <c r="K123" t="s">
        <v>4</v>
      </c>
      <c r="L123" t="s">
        <v>5</v>
      </c>
      <c r="M123" t="s">
        <v>6</v>
      </c>
      <c r="N123" t="s">
        <v>7</v>
      </c>
      <c r="O123" t="s">
        <v>5</v>
      </c>
      <c r="P123" t="s">
        <v>6</v>
      </c>
      <c r="Q123" t="s">
        <v>8</v>
      </c>
      <c r="R123" t="s">
        <v>5</v>
      </c>
      <c r="S123" t="s">
        <v>6</v>
      </c>
      <c r="T123" t="s">
        <v>7</v>
      </c>
      <c r="U123" t="s">
        <v>0</v>
      </c>
      <c r="V123" t="s">
        <v>9</v>
      </c>
      <c r="W123" t="s">
        <v>4</v>
      </c>
      <c r="X123" t="s">
        <v>5</v>
      </c>
      <c r="Y123" t="s">
        <v>6</v>
      </c>
      <c r="Z123" t="s">
        <v>7</v>
      </c>
      <c r="AA123" t="s">
        <v>5</v>
      </c>
      <c r="AB123" t="s">
        <v>6</v>
      </c>
      <c r="AC123" t="s">
        <v>7</v>
      </c>
      <c r="AD123" t="s">
        <v>5</v>
      </c>
      <c r="AE123" t="s">
        <v>6</v>
      </c>
      <c r="AF123" t="s">
        <v>7</v>
      </c>
    </row>
    <row r="124" spans="1:32" x14ac:dyDescent="0.2">
      <c r="A124">
        <v>1</v>
      </c>
      <c r="B124">
        <v>4</v>
      </c>
      <c r="C124">
        <v>0.83</v>
      </c>
      <c r="D124">
        <v>0.56999999999999995</v>
      </c>
      <c r="E124">
        <v>0.83</v>
      </c>
      <c r="F124">
        <v>0.56999999999999995</v>
      </c>
      <c r="G124">
        <v>7.3999999999999996E-2</v>
      </c>
      <c r="H124">
        <v>7.0000000000000007E-2</v>
      </c>
      <c r="J124">
        <v>1</v>
      </c>
      <c r="K124">
        <v>4</v>
      </c>
      <c r="L124">
        <v>0.83</v>
      </c>
      <c r="M124">
        <v>0.56999999999999995</v>
      </c>
      <c r="N124">
        <v>1</v>
      </c>
      <c r="O124">
        <v>0.83</v>
      </c>
      <c r="P124">
        <v>0.56999999999999995</v>
      </c>
      <c r="Q124">
        <v>1</v>
      </c>
      <c r="R124">
        <v>0.52500000000000002</v>
      </c>
      <c r="S124">
        <v>0.41</v>
      </c>
      <c r="T124">
        <v>0.222</v>
      </c>
      <c r="V124">
        <v>1</v>
      </c>
      <c r="W124">
        <v>4</v>
      </c>
      <c r="X124">
        <v>0.83</v>
      </c>
      <c r="Y124">
        <v>0.56999999999999995</v>
      </c>
      <c r="Z124">
        <v>1</v>
      </c>
      <c r="AA124">
        <v>0.83</v>
      </c>
      <c r="AB124">
        <v>0.56999999999999995</v>
      </c>
      <c r="AC124">
        <v>1</v>
      </c>
      <c r="AD124">
        <v>0.52500000000000002</v>
      </c>
      <c r="AE124">
        <v>0.41</v>
      </c>
      <c r="AF124">
        <v>0.222</v>
      </c>
    </row>
    <row r="125" spans="1:32" x14ac:dyDescent="0.2">
      <c r="A125">
        <v>2</v>
      </c>
      <c r="B125">
        <v>4</v>
      </c>
      <c r="C125">
        <v>0.67800000000000005</v>
      </c>
      <c r="D125">
        <v>0.06</v>
      </c>
      <c r="E125">
        <v>0.67800000000000005</v>
      </c>
      <c r="F125">
        <v>0.06</v>
      </c>
      <c r="G125">
        <v>9.9000000000000005E-2</v>
      </c>
      <c r="H125">
        <v>0</v>
      </c>
      <c r="J125">
        <v>2</v>
      </c>
      <c r="K125">
        <v>5</v>
      </c>
      <c r="L125">
        <v>0.97099999999999997</v>
      </c>
      <c r="M125">
        <v>0.4</v>
      </c>
      <c r="N125">
        <v>1</v>
      </c>
      <c r="O125">
        <v>0.97099999999999997</v>
      </c>
      <c r="P125">
        <v>0.4</v>
      </c>
      <c r="Q125">
        <v>1</v>
      </c>
      <c r="R125">
        <v>0.29299999999999998</v>
      </c>
      <c r="S125">
        <v>0.26</v>
      </c>
      <c r="T125">
        <v>0</v>
      </c>
      <c r="V125">
        <v>2</v>
      </c>
      <c r="W125">
        <v>5</v>
      </c>
      <c r="X125">
        <v>0.97099999999999997</v>
      </c>
      <c r="Y125">
        <v>0.4</v>
      </c>
      <c r="Z125">
        <v>1</v>
      </c>
      <c r="AA125">
        <v>0.97099999999999997</v>
      </c>
      <c r="AB125">
        <v>0.4</v>
      </c>
      <c r="AC125">
        <v>1</v>
      </c>
      <c r="AD125">
        <v>0.53100000000000003</v>
      </c>
      <c r="AE125">
        <v>0.47</v>
      </c>
      <c r="AF125">
        <v>0</v>
      </c>
    </row>
    <row r="126" spans="1:32" x14ac:dyDescent="0.2">
      <c r="A126">
        <v>3</v>
      </c>
      <c r="B126">
        <v>5</v>
      </c>
      <c r="C126">
        <v>0.97099999999999997</v>
      </c>
      <c r="D126">
        <v>0.4</v>
      </c>
      <c r="E126">
        <v>0.97099999999999997</v>
      </c>
      <c r="F126">
        <v>0.4</v>
      </c>
      <c r="G126">
        <v>0.23599999999999999</v>
      </c>
      <c r="H126">
        <v>0.18</v>
      </c>
      <c r="J126">
        <v>3</v>
      </c>
      <c r="K126">
        <v>4</v>
      </c>
      <c r="L126">
        <v>0.90500000000000003</v>
      </c>
      <c r="M126">
        <v>0.7</v>
      </c>
      <c r="N126">
        <v>1</v>
      </c>
      <c r="O126">
        <v>0.90500000000000003</v>
      </c>
      <c r="P126">
        <v>0.7</v>
      </c>
      <c r="Q126">
        <v>1</v>
      </c>
      <c r="R126">
        <v>0.70299999999999996</v>
      </c>
      <c r="S126">
        <v>0.66</v>
      </c>
      <c r="T126">
        <v>1</v>
      </c>
      <c r="V126">
        <v>3</v>
      </c>
      <c r="W126">
        <v>4</v>
      </c>
      <c r="X126">
        <v>0.90500000000000003</v>
      </c>
      <c r="Y126">
        <v>0.7</v>
      </c>
      <c r="Z126">
        <v>1</v>
      </c>
      <c r="AA126">
        <v>0.90500000000000003</v>
      </c>
      <c r="AB126">
        <v>0.7</v>
      </c>
      <c r="AC126">
        <v>1</v>
      </c>
      <c r="AD126">
        <v>0.70299999999999996</v>
      </c>
      <c r="AE126">
        <v>0.66</v>
      </c>
      <c r="AF126">
        <v>1</v>
      </c>
    </row>
    <row r="127" spans="1:32" x14ac:dyDescent="0.2">
      <c r="A127">
        <v>4</v>
      </c>
      <c r="B127">
        <v>4</v>
      </c>
      <c r="C127">
        <v>0.90500000000000003</v>
      </c>
      <c r="D127">
        <v>0.7</v>
      </c>
      <c r="E127">
        <v>0.90500000000000003</v>
      </c>
      <c r="F127">
        <v>0.7</v>
      </c>
      <c r="G127">
        <v>0.70299999999999996</v>
      </c>
      <c r="H127">
        <v>0.66</v>
      </c>
    </row>
    <row r="132" spans="1:32" x14ac:dyDescent="0.2">
      <c r="A132">
        <f>COUNT(A134:A138)</f>
        <v>4</v>
      </c>
      <c r="B132">
        <f>COUNTIF(B134:B138,"&gt;4")</f>
        <v>1</v>
      </c>
      <c r="D132" t="s">
        <v>0</v>
      </c>
      <c r="E132" t="s">
        <v>1</v>
      </c>
      <c r="F132" t="s">
        <v>0</v>
      </c>
      <c r="G132" t="s">
        <v>2</v>
      </c>
      <c r="H132" t="s">
        <v>0</v>
      </c>
      <c r="I132" t="s">
        <v>0</v>
      </c>
      <c r="J132">
        <f>COUNT(J134:J138)</f>
        <v>3</v>
      </c>
      <c r="K132">
        <f>COUNTIF(K134:K138,"&gt;4")</f>
        <v>0</v>
      </c>
      <c r="M132">
        <f>COUNTIF(M134:M138,1)</f>
        <v>0</v>
      </c>
      <c r="N132">
        <f>COUNTIF(N134:N138,1)</f>
        <v>2</v>
      </c>
      <c r="O132">
        <f>COUNTIF(O134:O138,"&gt;0")</f>
        <v>3</v>
      </c>
      <c r="P132">
        <f>COUNTIF(P134:P138,1)</f>
        <v>0</v>
      </c>
      <c r="Q132">
        <f>COUNTIF(Q134:Q138,1)</f>
        <v>2</v>
      </c>
      <c r="S132">
        <f>COUNTIF(S134:S138,1)</f>
        <v>1</v>
      </c>
      <c r="T132">
        <f>COUNTIFS(T134:T138,1,K134:K138,"&gt;4")</f>
        <v>0</v>
      </c>
      <c r="U132" t="s">
        <v>0</v>
      </c>
      <c r="V132">
        <f>COUNT(V134:V138)</f>
        <v>3</v>
      </c>
      <c r="W132">
        <f>COUNTIF(W134:W138,"&gt;4")</f>
        <v>0</v>
      </c>
      <c r="Y132">
        <f>COUNTIF(Y134:Y138,1)</f>
        <v>0</v>
      </c>
      <c r="Z132">
        <f>COUNTIF(Z134:Z138,1)</f>
        <v>2</v>
      </c>
      <c r="AA132">
        <f>COUNTIF(AA134:AA138,"&gt;0")</f>
        <v>3</v>
      </c>
      <c r="AB132">
        <f>COUNTIF(AB134:AB138,1)</f>
        <v>0</v>
      </c>
      <c r="AC132">
        <f>COUNTIF(AC134:AC138,1)</f>
        <v>2</v>
      </c>
      <c r="AE132">
        <f>COUNTIF(AE134:AE138,1)</f>
        <v>1</v>
      </c>
      <c r="AF132">
        <f>COUNTIFS(AF134:AF138,1,W134:W138,"&gt;4")</f>
        <v>0</v>
      </c>
    </row>
    <row r="133" spans="1:32" x14ac:dyDescent="0.2">
      <c r="A133" t="s">
        <v>3</v>
      </c>
      <c r="B133" t="s">
        <v>4</v>
      </c>
      <c r="C133" t="s">
        <v>5</v>
      </c>
      <c r="D133" t="s">
        <v>6</v>
      </c>
      <c r="E133" t="s">
        <v>5</v>
      </c>
      <c r="F133" t="s">
        <v>6</v>
      </c>
      <c r="G133" t="s">
        <v>5</v>
      </c>
      <c r="H133" t="s">
        <v>6</v>
      </c>
      <c r="I133" t="s">
        <v>0</v>
      </c>
      <c r="J133" t="s">
        <v>3</v>
      </c>
      <c r="K133" t="s">
        <v>4</v>
      </c>
      <c r="L133" t="s">
        <v>5</v>
      </c>
      <c r="M133" t="s">
        <v>6</v>
      </c>
      <c r="N133" t="s">
        <v>7</v>
      </c>
      <c r="O133" t="s">
        <v>5</v>
      </c>
      <c r="P133" t="s">
        <v>6</v>
      </c>
      <c r="Q133" t="s">
        <v>8</v>
      </c>
      <c r="R133" t="s">
        <v>5</v>
      </c>
      <c r="S133" t="s">
        <v>6</v>
      </c>
      <c r="T133" t="s">
        <v>7</v>
      </c>
      <c r="U133" t="s">
        <v>0</v>
      </c>
      <c r="V133" t="s">
        <v>9</v>
      </c>
      <c r="W133" t="s">
        <v>4</v>
      </c>
      <c r="X133" t="s">
        <v>5</v>
      </c>
      <c r="Y133" t="s">
        <v>6</v>
      </c>
      <c r="Z133" t="s">
        <v>7</v>
      </c>
      <c r="AA133" t="s">
        <v>5</v>
      </c>
      <c r="AB133" t="s">
        <v>6</v>
      </c>
      <c r="AC133" t="s">
        <v>7</v>
      </c>
      <c r="AD133" t="s">
        <v>5</v>
      </c>
      <c r="AE133" t="s">
        <v>6</v>
      </c>
      <c r="AF133" t="s">
        <v>7</v>
      </c>
    </row>
    <row r="134" spans="1:32" x14ac:dyDescent="0.2">
      <c r="A134">
        <v>1</v>
      </c>
      <c r="B134">
        <v>7</v>
      </c>
      <c r="C134">
        <v>0.85199999999999998</v>
      </c>
      <c r="D134">
        <v>0</v>
      </c>
      <c r="E134">
        <v>0.85199999999999998</v>
      </c>
      <c r="F134">
        <v>0</v>
      </c>
      <c r="G134">
        <v>0.93700000000000006</v>
      </c>
      <c r="H134">
        <v>0.93</v>
      </c>
      <c r="J134">
        <v>1</v>
      </c>
      <c r="K134">
        <v>4</v>
      </c>
      <c r="L134">
        <v>0.97299999999999998</v>
      </c>
      <c r="M134">
        <v>0.65</v>
      </c>
      <c r="N134">
        <v>0.85699999999999998</v>
      </c>
      <c r="O134">
        <v>0.97299999999999998</v>
      </c>
      <c r="P134">
        <v>0.65</v>
      </c>
      <c r="Q134">
        <v>0.85699999999999998</v>
      </c>
      <c r="R134">
        <v>0.93700000000000006</v>
      </c>
      <c r="S134">
        <v>0.93</v>
      </c>
      <c r="T134">
        <v>1</v>
      </c>
      <c r="V134">
        <v>1</v>
      </c>
      <c r="W134">
        <v>4</v>
      </c>
      <c r="X134">
        <v>0.97299999999999998</v>
      </c>
      <c r="Y134">
        <v>0.65</v>
      </c>
      <c r="Z134">
        <v>0.85699999999999998</v>
      </c>
      <c r="AA134">
        <v>0.97299999999999998</v>
      </c>
      <c r="AB134">
        <v>0.65</v>
      </c>
      <c r="AC134">
        <v>0.85699999999999998</v>
      </c>
      <c r="AD134">
        <v>0.93700000000000006</v>
      </c>
      <c r="AE134">
        <v>0.93</v>
      </c>
      <c r="AF134">
        <v>1</v>
      </c>
    </row>
    <row r="135" spans="1:32" x14ac:dyDescent="0.2">
      <c r="A135">
        <v>2</v>
      </c>
      <c r="B135">
        <v>4</v>
      </c>
      <c r="C135">
        <v>0.996</v>
      </c>
      <c r="D135">
        <v>0.92</v>
      </c>
      <c r="E135">
        <v>0.996</v>
      </c>
      <c r="F135">
        <v>0.92</v>
      </c>
      <c r="G135">
        <v>1</v>
      </c>
      <c r="H135">
        <v>1</v>
      </c>
      <c r="J135">
        <v>2</v>
      </c>
      <c r="K135">
        <v>4</v>
      </c>
      <c r="L135">
        <v>0.996</v>
      </c>
      <c r="M135">
        <v>0.92</v>
      </c>
      <c r="N135">
        <v>1</v>
      </c>
      <c r="O135">
        <v>0.996</v>
      </c>
      <c r="P135">
        <v>0.92</v>
      </c>
      <c r="Q135">
        <v>1</v>
      </c>
      <c r="R135">
        <v>1</v>
      </c>
      <c r="S135">
        <v>1</v>
      </c>
      <c r="T135">
        <v>1</v>
      </c>
      <c r="V135">
        <v>2</v>
      </c>
      <c r="W135">
        <v>4</v>
      </c>
      <c r="X135">
        <v>0.996</v>
      </c>
      <c r="Y135">
        <v>0.92</v>
      </c>
      <c r="Z135">
        <v>1</v>
      </c>
      <c r="AA135">
        <v>0.996</v>
      </c>
      <c r="AB135">
        <v>0.92</v>
      </c>
      <c r="AC135">
        <v>1</v>
      </c>
      <c r="AD135">
        <v>1</v>
      </c>
      <c r="AE135">
        <v>1</v>
      </c>
      <c r="AF135">
        <v>1</v>
      </c>
    </row>
    <row r="136" spans="1:32" x14ac:dyDescent="0.2">
      <c r="A136">
        <v>3</v>
      </c>
      <c r="B136">
        <v>4</v>
      </c>
      <c r="C136">
        <v>0.94699999999999995</v>
      </c>
      <c r="D136">
        <v>0.88</v>
      </c>
      <c r="E136">
        <v>0.94599999999999995</v>
      </c>
      <c r="F136">
        <v>0.87</v>
      </c>
      <c r="G136">
        <v>4.2000000000000003E-2</v>
      </c>
      <c r="H136">
        <v>0.04</v>
      </c>
      <c r="J136">
        <v>3</v>
      </c>
      <c r="K136">
        <v>4</v>
      </c>
      <c r="L136">
        <v>0.94699999999999995</v>
      </c>
      <c r="M136">
        <v>0.88</v>
      </c>
      <c r="N136">
        <v>1</v>
      </c>
      <c r="O136">
        <v>0.94599999999999995</v>
      </c>
      <c r="P136">
        <v>0.87</v>
      </c>
      <c r="Q136">
        <v>1</v>
      </c>
      <c r="R136">
        <v>0.89200000000000002</v>
      </c>
      <c r="S136">
        <v>0.84</v>
      </c>
      <c r="T136">
        <v>0.111</v>
      </c>
      <c r="V136">
        <v>3</v>
      </c>
      <c r="W136">
        <v>4</v>
      </c>
      <c r="X136">
        <v>0.94699999999999995</v>
      </c>
      <c r="Y136">
        <v>0.88</v>
      </c>
      <c r="Z136">
        <v>1</v>
      </c>
      <c r="AA136">
        <v>0.94599999999999995</v>
      </c>
      <c r="AB136">
        <v>0.87</v>
      </c>
      <c r="AC136">
        <v>1</v>
      </c>
      <c r="AD136">
        <v>0.89200000000000002</v>
      </c>
      <c r="AE136">
        <v>0.84</v>
      </c>
      <c r="AF136">
        <v>0.111</v>
      </c>
    </row>
    <row r="137" spans="1:32" x14ac:dyDescent="0.2">
      <c r="A137">
        <v>4</v>
      </c>
      <c r="B137">
        <v>4</v>
      </c>
      <c r="C137">
        <v>0.754</v>
      </c>
      <c r="D137">
        <v>0.27</v>
      </c>
      <c r="E137">
        <v>0.754</v>
      </c>
      <c r="F137">
        <v>0.27</v>
      </c>
      <c r="G137">
        <v>0.104</v>
      </c>
      <c r="H137">
        <v>0</v>
      </c>
    </row>
    <row r="142" spans="1:32" x14ac:dyDescent="0.2">
      <c r="A142">
        <f>COUNT(A144:A148)</f>
        <v>2</v>
      </c>
      <c r="B142">
        <f>COUNTIF(B144:B148,"&gt;4")</f>
        <v>2</v>
      </c>
      <c r="D142" t="s">
        <v>0</v>
      </c>
      <c r="E142" t="s">
        <v>1</v>
      </c>
      <c r="F142" t="s">
        <v>0</v>
      </c>
      <c r="G142" t="s">
        <v>2</v>
      </c>
      <c r="H142" t="s">
        <v>0</v>
      </c>
      <c r="I142" t="s">
        <v>0</v>
      </c>
      <c r="J142">
        <f>COUNT(J144:J148)</f>
        <v>3</v>
      </c>
      <c r="K142">
        <f>COUNTIF(K144:K148,"&gt;4")</f>
        <v>2</v>
      </c>
      <c r="M142">
        <f>COUNTIF(M144:M148,1)</f>
        <v>0</v>
      </c>
      <c r="N142">
        <f>COUNTIF(N144:N148,1)</f>
        <v>1</v>
      </c>
      <c r="O142">
        <f>COUNTIF(O144:O148,"&gt;0")</f>
        <v>3</v>
      </c>
      <c r="P142">
        <f>COUNTIF(P144:P148,1)</f>
        <v>0</v>
      </c>
      <c r="Q142">
        <f>COUNTIF(Q144:Q148,1)</f>
        <v>1</v>
      </c>
      <c r="S142">
        <f>COUNTIF(S144:S148,1)</f>
        <v>0</v>
      </c>
      <c r="T142">
        <f>COUNTIFS(T144:T148,1,K144:K148,"&gt;4")</f>
        <v>2</v>
      </c>
      <c r="U142" t="s">
        <v>0</v>
      </c>
      <c r="V142">
        <f>COUNT(V144:V148)</f>
        <v>2</v>
      </c>
      <c r="W142">
        <f>COUNTIF(W144:W148,"&gt;4")</f>
        <v>2</v>
      </c>
      <c r="Y142">
        <f>COUNTIF(Y144:Y148,1)</f>
        <v>0</v>
      </c>
      <c r="Z142">
        <f>COUNTIF(Z144:Z148,1)</f>
        <v>2</v>
      </c>
      <c r="AA142">
        <f>COUNTIF(AA144:AA148,"&gt;0")</f>
        <v>2</v>
      </c>
      <c r="AB142">
        <f>COUNTIF(AB144:AB148,1)</f>
        <v>0</v>
      </c>
      <c r="AC142">
        <f>COUNTIF(AC144:AC148,1)</f>
        <v>2</v>
      </c>
      <c r="AE142">
        <f>COUNTIF(AE144:AE148,1)</f>
        <v>0</v>
      </c>
      <c r="AF142">
        <f>COUNTIFS(AF144:AF148,1,W144:W148,"&gt;4")</f>
        <v>2</v>
      </c>
    </row>
    <row r="143" spans="1:32" x14ac:dyDescent="0.2">
      <c r="A143" t="s">
        <v>3</v>
      </c>
      <c r="B143" t="s">
        <v>4</v>
      </c>
      <c r="C143" t="s">
        <v>5</v>
      </c>
      <c r="D143" t="s">
        <v>6</v>
      </c>
      <c r="E143" t="s">
        <v>5</v>
      </c>
      <c r="F143" t="s">
        <v>6</v>
      </c>
      <c r="G143" t="s">
        <v>5</v>
      </c>
      <c r="H143" t="s">
        <v>6</v>
      </c>
      <c r="I143" t="s">
        <v>0</v>
      </c>
      <c r="J143" t="s">
        <v>3</v>
      </c>
      <c r="K143" t="s">
        <v>4</v>
      </c>
      <c r="L143" t="s">
        <v>5</v>
      </c>
      <c r="M143" t="s">
        <v>6</v>
      </c>
      <c r="N143" t="s">
        <v>7</v>
      </c>
      <c r="O143" t="s">
        <v>5</v>
      </c>
      <c r="P143" t="s">
        <v>6</v>
      </c>
      <c r="Q143" t="s">
        <v>8</v>
      </c>
      <c r="R143" t="s">
        <v>5</v>
      </c>
      <c r="S143" t="s">
        <v>6</v>
      </c>
      <c r="T143" t="s">
        <v>7</v>
      </c>
      <c r="U143" t="s">
        <v>0</v>
      </c>
      <c r="V143" t="s">
        <v>9</v>
      </c>
      <c r="W143" t="s">
        <v>4</v>
      </c>
      <c r="X143" t="s">
        <v>5</v>
      </c>
      <c r="Y143" t="s">
        <v>6</v>
      </c>
      <c r="Z143" t="s">
        <v>7</v>
      </c>
      <c r="AA143" t="s">
        <v>5</v>
      </c>
      <c r="AB143" t="s">
        <v>6</v>
      </c>
      <c r="AC143" t="s">
        <v>7</v>
      </c>
      <c r="AD143" t="s">
        <v>5</v>
      </c>
      <c r="AE143" t="s">
        <v>6</v>
      </c>
      <c r="AF143" t="s">
        <v>7</v>
      </c>
    </row>
    <row r="144" spans="1:32" x14ac:dyDescent="0.2">
      <c r="A144">
        <v>1</v>
      </c>
      <c r="B144">
        <v>7</v>
      </c>
      <c r="C144">
        <v>0.95899999999999996</v>
      </c>
      <c r="D144">
        <v>0.55000000000000004</v>
      </c>
      <c r="E144">
        <v>0.94</v>
      </c>
      <c r="F144">
        <v>0.37</v>
      </c>
      <c r="G144">
        <v>0.95399999999999996</v>
      </c>
      <c r="H144">
        <v>0.95</v>
      </c>
      <c r="J144">
        <v>1</v>
      </c>
      <c r="K144">
        <v>5</v>
      </c>
      <c r="L144">
        <v>0.93400000000000005</v>
      </c>
      <c r="M144">
        <v>0.25</v>
      </c>
      <c r="N144">
        <v>0.90500000000000003</v>
      </c>
      <c r="O144">
        <v>0.93400000000000005</v>
      </c>
      <c r="P144">
        <v>0.25</v>
      </c>
      <c r="Q144">
        <v>0.90500000000000003</v>
      </c>
      <c r="R144">
        <v>0.95399999999999996</v>
      </c>
      <c r="S144">
        <v>0.95</v>
      </c>
      <c r="T144">
        <v>1</v>
      </c>
      <c r="V144">
        <v>1</v>
      </c>
      <c r="W144">
        <v>7</v>
      </c>
      <c r="X144">
        <v>0.95899999999999996</v>
      </c>
      <c r="Y144">
        <v>0.55000000000000004</v>
      </c>
      <c r="Z144">
        <v>1</v>
      </c>
      <c r="AA144">
        <v>0.94</v>
      </c>
      <c r="AB144">
        <v>0.37</v>
      </c>
      <c r="AC144">
        <v>1</v>
      </c>
      <c r="AD144">
        <v>0.95399999999999996</v>
      </c>
      <c r="AE144">
        <v>0.95</v>
      </c>
      <c r="AF144">
        <v>1</v>
      </c>
    </row>
    <row r="145" spans="1:32" x14ac:dyDescent="0.2">
      <c r="A145">
        <v>2</v>
      </c>
      <c r="B145">
        <v>6</v>
      </c>
      <c r="C145">
        <v>0.94599999999999995</v>
      </c>
      <c r="D145">
        <v>0.56000000000000005</v>
      </c>
      <c r="E145">
        <v>0.94599999999999995</v>
      </c>
      <c r="F145">
        <v>0.56000000000000005</v>
      </c>
      <c r="G145">
        <v>0.92</v>
      </c>
      <c r="H145">
        <v>0.92</v>
      </c>
      <c r="J145">
        <v>2</v>
      </c>
      <c r="K145">
        <v>6</v>
      </c>
      <c r="L145">
        <v>0.94599999999999995</v>
      </c>
      <c r="M145">
        <v>0.56000000000000005</v>
      </c>
      <c r="N145">
        <v>1</v>
      </c>
      <c r="O145">
        <v>0.94599999999999995</v>
      </c>
      <c r="P145">
        <v>0.56000000000000005</v>
      </c>
      <c r="Q145">
        <v>1</v>
      </c>
      <c r="R145">
        <v>0.92</v>
      </c>
      <c r="S145">
        <v>0.92</v>
      </c>
      <c r="T145">
        <v>1</v>
      </c>
      <c r="V145">
        <v>2</v>
      </c>
      <c r="W145">
        <v>6</v>
      </c>
      <c r="X145">
        <v>0.94599999999999995</v>
      </c>
      <c r="Y145">
        <v>0.56000000000000005</v>
      </c>
      <c r="Z145">
        <v>1</v>
      </c>
      <c r="AA145">
        <v>0.94599999999999995</v>
      </c>
      <c r="AB145">
        <v>0.56000000000000005</v>
      </c>
      <c r="AC145">
        <v>1</v>
      </c>
      <c r="AD145">
        <v>0.92</v>
      </c>
      <c r="AE145">
        <v>0.92</v>
      </c>
      <c r="AF145">
        <v>1</v>
      </c>
    </row>
    <row r="146" spans="1:32" x14ac:dyDescent="0.2">
      <c r="J146">
        <v>3</v>
      </c>
      <c r="K146">
        <v>4</v>
      </c>
      <c r="L146">
        <v>0.82699999999999996</v>
      </c>
      <c r="M146">
        <v>0.19</v>
      </c>
      <c r="N146">
        <v>0.81</v>
      </c>
      <c r="O146">
        <v>0.82399999999999995</v>
      </c>
      <c r="P146">
        <v>0.18</v>
      </c>
      <c r="Q146">
        <v>0.81</v>
      </c>
      <c r="R146">
        <v>0.20399999999999999</v>
      </c>
      <c r="S146">
        <v>0.2</v>
      </c>
      <c r="T146">
        <v>0.111</v>
      </c>
    </row>
    <row r="151" spans="1:32" x14ac:dyDescent="0.2">
      <c r="A151">
        <f>COUNT(A153:A157)</f>
        <v>2</v>
      </c>
      <c r="B151">
        <f>COUNTIF(B153:B157,"&gt;4")</f>
        <v>2</v>
      </c>
      <c r="D151" t="s">
        <v>0</v>
      </c>
      <c r="E151" t="s">
        <v>1</v>
      </c>
      <c r="F151" t="s">
        <v>0</v>
      </c>
      <c r="G151" t="s">
        <v>2</v>
      </c>
      <c r="H151" t="s">
        <v>0</v>
      </c>
      <c r="I151" t="s">
        <v>0</v>
      </c>
      <c r="J151">
        <f>COUNT(J153:J157)</f>
        <v>2</v>
      </c>
      <c r="K151">
        <f>COUNTIF(K153:K157,"&gt;4")</f>
        <v>2</v>
      </c>
      <c r="M151">
        <f>COUNTIF(M153:M157,1)</f>
        <v>0</v>
      </c>
      <c r="N151">
        <f>COUNTIF(N153:N157,1)</f>
        <v>1</v>
      </c>
      <c r="O151">
        <f>COUNTIF(O153:O157,"&gt;0")</f>
        <v>2</v>
      </c>
      <c r="P151">
        <f>COUNTIF(P153:P157,1)</f>
        <v>0</v>
      </c>
      <c r="Q151">
        <f>COUNTIF(Q153:Q157,1)</f>
        <v>1</v>
      </c>
      <c r="S151">
        <f>COUNTIF(S153:S157,1)</f>
        <v>0</v>
      </c>
      <c r="T151">
        <f>COUNTIFS(T153:T157,1,K153:K157,"&gt;4")</f>
        <v>2</v>
      </c>
      <c r="U151" t="s">
        <v>0</v>
      </c>
      <c r="V151">
        <f>COUNT(V153:V157)</f>
        <v>2</v>
      </c>
      <c r="W151">
        <f>COUNTIF(W153:W157,"&gt;4")</f>
        <v>2</v>
      </c>
      <c r="Y151">
        <f>COUNTIF(Y153:Y157,1)</f>
        <v>0</v>
      </c>
      <c r="Z151">
        <f>COUNTIF(Z153:Z157,1)</f>
        <v>1</v>
      </c>
      <c r="AA151">
        <f>COUNTIF(AA153:AA157,"&gt;0")</f>
        <v>2</v>
      </c>
      <c r="AB151">
        <f>COUNTIF(AB153:AB157,1)</f>
        <v>0</v>
      </c>
      <c r="AC151">
        <f>COUNTIF(AC153:AC157,1)</f>
        <v>1</v>
      </c>
      <c r="AE151">
        <f>COUNTIF(AE153:AE157,1)</f>
        <v>0</v>
      </c>
      <c r="AF151">
        <f>COUNTIFS(AF153:AF157,1,W153:W157,"&gt;4")</f>
        <v>2</v>
      </c>
    </row>
    <row r="152" spans="1:32" x14ac:dyDescent="0.2">
      <c r="A152" t="s">
        <v>3</v>
      </c>
      <c r="B152" t="s">
        <v>4</v>
      </c>
      <c r="C152" t="s">
        <v>5</v>
      </c>
      <c r="D152" t="s">
        <v>6</v>
      </c>
      <c r="E152" t="s">
        <v>5</v>
      </c>
      <c r="F152" t="s">
        <v>6</v>
      </c>
      <c r="G152" t="s">
        <v>5</v>
      </c>
      <c r="H152" t="s">
        <v>6</v>
      </c>
      <c r="I152" t="s">
        <v>0</v>
      </c>
      <c r="J152" t="s">
        <v>3</v>
      </c>
      <c r="K152" t="s">
        <v>4</v>
      </c>
      <c r="L152" t="s">
        <v>5</v>
      </c>
      <c r="M152" t="s">
        <v>6</v>
      </c>
      <c r="N152" t="s">
        <v>7</v>
      </c>
      <c r="O152" t="s">
        <v>5</v>
      </c>
      <c r="P152" t="s">
        <v>6</v>
      </c>
      <c r="Q152" t="s">
        <v>8</v>
      </c>
      <c r="R152" t="s">
        <v>5</v>
      </c>
      <c r="S152" t="s">
        <v>6</v>
      </c>
      <c r="T152" t="s">
        <v>7</v>
      </c>
      <c r="U152" t="s">
        <v>0</v>
      </c>
      <c r="V152" t="s">
        <v>9</v>
      </c>
      <c r="W152" t="s">
        <v>4</v>
      </c>
      <c r="X152" t="s">
        <v>5</v>
      </c>
      <c r="Y152" t="s">
        <v>6</v>
      </c>
      <c r="Z152" t="s">
        <v>7</v>
      </c>
      <c r="AA152" t="s">
        <v>5</v>
      </c>
      <c r="AB152" t="s">
        <v>6</v>
      </c>
      <c r="AC152" t="s">
        <v>7</v>
      </c>
      <c r="AD152" t="s">
        <v>5</v>
      </c>
      <c r="AE152" t="s">
        <v>6</v>
      </c>
      <c r="AF152" t="s">
        <v>7</v>
      </c>
    </row>
    <row r="153" spans="1:32" x14ac:dyDescent="0.2">
      <c r="A153">
        <v>1</v>
      </c>
      <c r="B153">
        <v>6</v>
      </c>
      <c r="C153">
        <v>0.95499999999999996</v>
      </c>
      <c r="D153">
        <v>0.15</v>
      </c>
      <c r="E153">
        <v>0.95499999999999996</v>
      </c>
      <c r="F153">
        <v>0.15</v>
      </c>
      <c r="G153">
        <v>0.99</v>
      </c>
      <c r="H153">
        <v>0.99</v>
      </c>
      <c r="J153">
        <v>1</v>
      </c>
      <c r="K153">
        <v>5</v>
      </c>
      <c r="L153">
        <v>0.98899999999999999</v>
      </c>
      <c r="M153">
        <v>0.76</v>
      </c>
      <c r="N153">
        <v>0.95199999999999996</v>
      </c>
      <c r="O153">
        <v>0.98899999999999999</v>
      </c>
      <c r="P153">
        <v>0.76</v>
      </c>
      <c r="Q153">
        <v>0.95199999999999996</v>
      </c>
      <c r="R153">
        <v>0.99</v>
      </c>
      <c r="S153">
        <v>0.99</v>
      </c>
      <c r="T153">
        <v>1</v>
      </c>
      <c r="V153">
        <v>1</v>
      </c>
      <c r="W153">
        <v>5</v>
      </c>
      <c r="X153">
        <v>0.98899999999999999</v>
      </c>
      <c r="Y153">
        <v>0.76</v>
      </c>
      <c r="Z153">
        <v>0.95199999999999996</v>
      </c>
      <c r="AA153">
        <v>0.98899999999999999</v>
      </c>
      <c r="AB153">
        <v>0.76</v>
      </c>
      <c r="AC153">
        <v>0.95199999999999996</v>
      </c>
      <c r="AD153">
        <v>0.99</v>
      </c>
      <c r="AE153">
        <v>0.99</v>
      </c>
      <c r="AF153">
        <v>1</v>
      </c>
    </row>
    <row r="154" spans="1:32" x14ac:dyDescent="0.2">
      <c r="A154">
        <v>2</v>
      </c>
      <c r="B154">
        <v>7</v>
      </c>
      <c r="C154">
        <v>0.99299999999999999</v>
      </c>
      <c r="D154">
        <v>0.94</v>
      </c>
      <c r="E154">
        <v>0.99299999999999999</v>
      </c>
      <c r="F154">
        <v>0.94</v>
      </c>
      <c r="G154">
        <v>0.97</v>
      </c>
      <c r="H154">
        <v>0.97</v>
      </c>
      <c r="J154">
        <v>2</v>
      </c>
      <c r="K154">
        <v>7</v>
      </c>
      <c r="L154">
        <v>0.99299999999999999</v>
      </c>
      <c r="M154">
        <v>0.94</v>
      </c>
      <c r="N154">
        <v>1</v>
      </c>
      <c r="O154">
        <v>0.99299999999999999</v>
      </c>
      <c r="P154">
        <v>0.94</v>
      </c>
      <c r="Q154">
        <v>1</v>
      </c>
      <c r="R154">
        <v>0.97</v>
      </c>
      <c r="S154">
        <v>0.97</v>
      </c>
      <c r="T154">
        <v>1</v>
      </c>
      <c r="V154">
        <v>2</v>
      </c>
      <c r="W154">
        <v>7</v>
      </c>
      <c r="X154">
        <v>0.99299999999999999</v>
      </c>
      <c r="Y154">
        <v>0.94</v>
      </c>
      <c r="Z154">
        <v>1</v>
      </c>
      <c r="AA154">
        <v>0.99299999999999999</v>
      </c>
      <c r="AB154">
        <v>0.94</v>
      </c>
      <c r="AC154">
        <v>1</v>
      </c>
      <c r="AD154">
        <v>0.97</v>
      </c>
      <c r="AE154">
        <v>0.97</v>
      </c>
      <c r="AF154">
        <v>1</v>
      </c>
    </row>
    <row r="159" spans="1:32" x14ac:dyDescent="0.2">
      <c r="A159">
        <f>COUNT(A161:A165)</f>
        <v>4</v>
      </c>
      <c r="B159">
        <f>COUNTIF(B161:B165,"&gt;4")</f>
        <v>2</v>
      </c>
      <c r="D159" t="s">
        <v>0</v>
      </c>
      <c r="E159" t="s">
        <v>1</v>
      </c>
      <c r="F159" t="s">
        <v>0</v>
      </c>
      <c r="G159" t="s">
        <v>2</v>
      </c>
      <c r="H159" t="s">
        <v>0</v>
      </c>
      <c r="I159" t="s">
        <v>0</v>
      </c>
      <c r="J159">
        <f>COUNT(J161:J165)</f>
        <v>3</v>
      </c>
      <c r="K159">
        <f>COUNTIF(K161:K165,"&gt;4")</f>
        <v>0</v>
      </c>
      <c r="M159">
        <f>COUNTIF(M161:M165,1)</f>
        <v>0</v>
      </c>
      <c r="N159">
        <f>COUNTIF(N161:N165,1)</f>
        <v>1</v>
      </c>
      <c r="O159">
        <f>COUNTIF(O161:O165,"&gt;0")</f>
        <v>3</v>
      </c>
      <c r="P159">
        <f>COUNTIF(P161:P165,1)</f>
        <v>0</v>
      </c>
      <c r="Q159">
        <f>COUNTIF(Q161:Q165,1)</f>
        <v>1</v>
      </c>
      <c r="S159">
        <f>COUNTIF(S161:S165,1)</f>
        <v>0</v>
      </c>
      <c r="T159">
        <f>COUNTIFS(T161:T165,1,K161:K165,"&gt;4")</f>
        <v>0</v>
      </c>
      <c r="U159" t="s">
        <v>0</v>
      </c>
      <c r="V159">
        <f>COUNT(V161:V165)</f>
        <v>4</v>
      </c>
      <c r="W159">
        <f>COUNTIF(W161:W165,"&gt;4")</f>
        <v>0</v>
      </c>
      <c r="Y159">
        <f>COUNTIF(Y161:Y165,1)</f>
        <v>0</v>
      </c>
      <c r="Z159">
        <f>COUNTIF(Z161:Z165,1)</f>
        <v>1</v>
      </c>
      <c r="AA159">
        <f>COUNTIF(AA161:AA165,"&gt;0")</f>
        <v>4</v>
      </c>
      <c r="AB159">
        <f>COUNTIF(AB161:AB165,1)</f>
        <v>0</v>
      </c>
      <c r="AC159">
        <f>COUNTIF(AC161:AC165,1)</f>
        <v>1</v>
      </c>
      <c r="AE159">
        <f>COUNTIF(AE161:AE165,1)</f>
        <v>0</v>
      </c>
      <c r="AF159">
        <f>COUNTIFS(AF161:AF165,1,W161:W165,"&gt;4")</f>
        <v>0</v>
      </c>
    </row>
    <row r="160" spans="1:32" x14ac:dyDescent="0.2">
      <c r="A160" t="s">
        <v>3</v>
      </c>
      <c r="B160" t="s">
        <v>4</v>
      </c>
      <c r="C160" t="s">
        <v>5</v>
      </c>
      <c r="D160" t="s">
        <v>6</v>
      </c>
      <c r="E160" t="s">
        <v>5</v>
      </c>
      <c r="F160" t="s">
        <v>6</v>
      </c>
      <c r="G160" t="s">
        <v>5</v>
      </c>
      <c r="H160" t="s">
        <v>6</v>
      </c>
      <c r="I160" t="s">
        <v>0</v>
      </c>
      <c r="J160" t="s">
        <v>3</v>
      </c>
      <c r="K160" t="s">
        <v>4</v>
      </c>
      <c r="L160" t="s">
        <v>5</v>
      </c>
      <c r="M160" t="s">
        <v>6</v>
      </c>
      <c r="N160" t="s">
        <v>7</v>
      </c>
      <c r="O160" t="s">
        <v>5</v>
      </c>
      <c r="P160" t="s">
        <v>6</v>
      </c>
      <c r="Q160" t="s">
        <v>8</v>
      </c>
      <c r="R160" t="s">
        <v>5</v>
      </c>
      <c r="S160" t="s">
        <v>6</v>
      </c>
      <c r="T160" t="s">
        <v>7</v>
      </c>
      <c r="U160" t="s">
        <v>0</v>
      </c>
      <c r="V160" t="s">
        <v>9</v>
      </c>
      <c r="W160" t="s">
        <v>4</v>
      </c>
      <c r="X160" t="s">
        <v>5</v>
      </c>
      <c r="Y160" t="s">
        <v>6</v>
      </c>
      <c r="Z160" t="s">
        <v>7</v>
      </c>
      <c r="AA160" t="s">
        <v>5</v>
      </c>
      <c r="AB160" t="s">
        <v>6</v>
      </c>
      <c r="AC160" t="s">
        <v>7</v>
      </c>
      <c r="AD160" t="s">
        <v>5</v>
      </c>
      <c r="AE160" t="s">
        <v>6</v>
      </c>
      <c r="AF160" t="s">
        <v>7</v>
      </c>
    </row>
    <row r="161" spans="1:32" x14ac:dyDescent="0.2">
      <c r="A161">
        <v>1</v>
      </c>
      <c r="B161">
        <v>4</v>
      </c>
      <c r="C161">
        <v>0.96799999999999997</v>
      </c>
      <c r="D161">
        <v>0.89</v>
      </c>
      <c r="E161">
        <v>0.96799999999999997</v>
      </c>
      <c r="F161">
        <v>0.89</v>
      </c>
      <c r="G161">
        <v>0.28799999999999998</v>
      </c>
      <c r="H161">
        <v>0.24</v>
      </c>
      <c r="J161">
        <v>1</v>
      </c>
      <c r="K161">
        <v>4</v>
      </c>
      <c r="L161">
        <v>0.96799999999999997</v>
      </c>
      <c r="M161">
        <v>0.89</v>
      </c>
      <c r="N161">
        <v>1</v>
      </c>
      <c r="O161">
        <v>0.96799999999999997</v>
      </c>
      <c r="P161">
        <v>0.89</v>
      </c>
      <c r="Q161">
        <v>1</v>
      </c>
      <c r="R161">
        <v>0.86699999999999999</v>
      </c>
      <c r="S161">
        <v>0.52</v>
      </c>
      <c r="T161">
        <v>0.111</v>
      </c>
      <c r="V161">
        <v>1</v>
      </c>
      <c r="W161">
        <v>4</v>
      </c>
      <c r="X161">
        <v>0.96799999999999997</v>
      </c>
      <c r="Y161">
        <v>0.89</v>
      </c>
      <c r="Z161">
        <v>1</v>
      </c>
      <c r="AA161">
        <v>0.96799999999999997</v>
      </c>
      <c r="AB161">
        <v>0.89</v>
      </c>
      <c r="AC161">
        <v>1</v>
      </c>
      <c r="AD161">
        <v>0.86699999999999999</v>
      </c>
      <c r="AE161">
        <v>0.52</v>
      </c>
      <c r="AF161">
        <v>0.111</v>
      </c>
    </row>
    <row r="162" spans="1:32" x14ac:dyDescent="0.2">
      <c r="A162">
        <v>2</v>
      </c>
      <c r="B162">
        <v>5</v>
      </c>
      <c r="C162">
        <v>0.92900000000000005</v>
      </c>
      <c r="D162">
        <v>0.24</v>
      </c>
      <c r="E162">
        <v>0.91900000000000004</v>
      </c>
      <c r="F162">
        <v>7.0000000000000007E-2</v>
      </c>
      <c r="G162">
        <v>0.21</v>
      </c>
      <c r="H162">
        <v>0.17</v>
      </c>
      <c r="J162">
        <v>2</v>
      </c>
      <c r="K162">
        <v>4</v>
      </c>
      <c r="L162">
        <v>0.94499999999999995</v>
      </c>
      <c r="M162">
        <v>0.61</v>
      </c>
      <c r="N162">
        <v>0.95199999999999996</v>
      </c>
      <c r="O162">
        <v>0.94399999999999995</v>
      </c>
      <c r="P162">
        <v>0.61</v>
      </c>
      <c r="Q162">
        <v>0.95199999999999996</v>
      </c>
      <c r="R162">
        <v>0.192</v>
      </c>
      <c r="S162">
        <v>0.15</v>
      </c>
      <c r="T162">
        <v>0</v>
      </c>
      <c r="V162">
        <v>2</v>
      </c>
      <c r="W162">
        <v>4</v>
      </c>
      <c r="X162">
        <v>0.94499999999999995</v>
      </c>
      <c r="Y162">
        <v>0.61</v>
      </c>
      <c r="Z162">
        <v>0.95199999999999996</v>
      </c>
      <c r="AA162">
        <v>0.94399999999999995</v>
      </c>
      <c r="AB162">
        <v>0.61</v>
      </c>
      <c r="AC162">
        <v>0.95199999999999996</v>
      </c>
      <c r="AD162">
        <v>0.21</v>
      </c>
      <c r="AE162">
        <v>0.17</v>
      </c>
      <c r="AF162">
        <v>1</v>
      </c>
    </row>
    <row r="163" spans="1:32" x14ac:dyDescent="0.2">
      <c r="A163">
        <v>3</v>
      </c>
      <c r="B163">
        <v>5</v>
      </c>
      <c r="C163">
        <v>0.90500000000000003</v>
      </c>
      <c r="D163">
        <v>0.1</v>
      </c>
      <c r="E163">
        <v>0.90400000000000003</v>
      </c>
      <c r="F163">
        <v>0.09</v>
      </c>
      <c r="G163">
        <v>0.313</v>
      </c>
      <c r="H163">
        <v>0.23</v>
      </c>
      <c r="J163">
        <v>3</v>
      </c>
      <c r="K163">
        <v>4</v>
      </c>
      <c r="L163">
        <v>0.93700000000000006</v>
      </c>
      <c r="M163">
        <v>0.67</v>
      </c>
      <c r="N163">
        <v>0.95199999999999996</v>
      </c>
      <c r="O163">
        <v>0.93600000000000005</v>
      </c>
      <c r="P163">
        <v>0.66</v>
      </c>
      <c r="Q163">
        <v>0.95199999999999996</v>
      </c>
      <c r="R163">
        <v>0.50900000000000001</v>
      </c>
      <c r="S163">
        <v>0.45</v>
      </c>
      <c r="T163">
        <v>0</v>
      </c>
      <c r="V163">
        <v>3</v>
      </c>
      <c r="W163">
        <v>4</v>
      </c>
      <c r="X163">
        <v>0.93700000000000006</v>
      </c>
      <c r="Y163">
        <v>0.67</v>
      </c>
      <c r="Z163">
        <v>0.95199999999999996</v>
      </c>
      <c r="AA163">
        <v>0.93600000000000005</v>
      </c>
      <c r="AB163">
        <v>0.66</v>
      </c>
      <c r="AC163">
        <v>0.95199999999999996</v>
      </c>
      <c r="AD163">
        <v>0.50900000000000001</v>
      </c>
      <c r="AE163">
        <v>0.45</v>
      </c>
      <c r="AF163">
        <v>0</v>
      </c>
    </row>
    <row r="164" spans="1:32" x14ac:dyDescent="0.2">
      <c r="A164">
        <v>4</v>
      </c>
      <c r="B164">
        <v>4</v>
      </c>
      <c r="C164">
        <v>0.83299999999999996</v>
      </c>
      <c r="D164">
        <v>0.44</v>
      </c>
      <c r="E164">
        <v>0.81299999999999994</v>
      </c>
      <c r="F164">
        <v>0.01</v>
      </c>
      <c r="G164">
        <v>0.11700000000000001</v>
      </c>
      <c r="H164">
        <v>0.01</v>
      </c>
      <c r="V164">
        <v>4</v>
      </c>
      <c r="W164">
        <v>4</v>
      </c>
      <c r="X164">
        <v>0.91600000000000004</v>
      </c>
      <c r="Y164">
        <v>0.48</v>
      </c>
      <c r="Z164">
        <v>0.57099999999999995</v>
      </c>
      <c r="AA164">
        <v>0.90100000000000002</v>
      </c>
      <c r="AB164">
        <v>0.33</v>
      </c>
      <c r="AC164">
        <v>0.57099999999999995</v>
      </c>
      <c r="AD164">
        <v>0.876</v>
      </c>
      <c r="AE164">
        <v>0.86</v>
      </c>
      <c r="AF164">
        <v>0</v>
      </c>
    </row>
    <row r="169" spans="1:32" x14ac:dyDescent="0.2">
      <c r="A169">
        <f>COUNT(A171:A175)</f>
        <v>4</v>
      </c>
      <c r="B169">
        <f>COUNTIF(B171:B175,"&gt;4")</f>
        <v>0</v>
      </c>
      <c r="D169" t="s">
        <v>0</v>
      </c>
      <c r="E169" t="s">
        <v>1</v>
      </c>
      <c r="F169" t="s">
        <v>0</v>
      </c>
      <c r="G169" t="s">
        <v>2</v>
      </c>
      <c r="H169" t="s">
        <v>0</v>
      </c>
      <c r="I169" t="s">
        <v>0</v>
      </c>
      <c r="J169">
        <f>COUNT(J171:J175)</f>
        <v>4</v>
      </c>
      <c r="K169">
        <f>COUNTIF(K171:K175,"&gt;4")</f>
        <v>0</v>
      </c>
      <c r="M169">
        <f>COUNTIF(M171:M175,1)</f>
        <v>1</v>
      </c>
      <c r="N169">
        <f>COUNTIF(N171:N175,1)</f>
        <v>4</v>
      </c>
      <c r="O169">
        <f>COUNTIF(O171:O175,"&gt;0")</f>
        <v>4</v>
      </c>
      <c r="P169">
        <f>COUNTIF(P171:P175,1)</f>
        <v>0</v>
      </c>
      <c r="Q169">
        <f>COUNTIF(Q171:Q175,1)</f>
        <v>4</v>
      </c>
      <c r="S169">
        <f>COUNTIF(S171:S175,1)</f>
        <v>1</v>
      </c>
      <c r="T169">
        <f>COUNTIFS(T171:T175,1,K171:K175,"&gt;4")</f>
        <v>0</v>
      </c>
      <c r="U169" t="s">
        <v>0</v>
      </c>
      <c r="V169">
        <f>COUNT(V171:V175)</f>
        <v>4</v>
      </c>
      <c r="W169">
        <f>COUNTIF(W171:W175,"&gt;4")</f>
        <v>0</v>
      </c>
      <c r="Y169">
        <f>COUNTIF(Y171:Y175,1)</f>
        <v>1</v>
      </c>
      <c r="Z169">
        <f>COUNTIF(Z171:Z175,1)</f>
        <v>4</v>
      </c>
      <c r="AA169">
        <f>COUNTIF(AA171:AA175,"&gt;0")</f>
        <v>4</v>
      </c>
      <c r="AB169">
        <f>COUNTIF(AB171:AB175,1)</f>
        <v>0</v>
      </c>
      <c r="AC169">
        <f>COUNTIF(AC171:AC175,1)</f>
        <v>4</v>
      </c>
      <c r="AE169">
        <f>COUNTIF(AE171:AE175,1)</f>
        <v>1</v>
      </c>
      <c r="AF169">
        <f>COUNTIFS(AF171:AF175,1,W171:W175,"&gt;4")</f>
        <v>0</v>
      </c>
    </row>
    <row r="170" spans="1:32" x14ac:dyDescent="0.2">
      <c r="A170" t="s">
        <v>3</v>
      </c>
      <c r="B170" t="s">
        <v>4</v>
      </c>
      <c r="C170" t="s">
        <v>5</v>
      </c>
      <c r="D170" t="s">
        <v>6</v>
      </c>
      <c r="E170" t="s">
        <v>5</v>
      </c>
      <c r="F170" t="s">
        <v>6</v>
      </c>
      <c r="G170" t="s">
        <v>5</v>
      </c>
      <c r="H170" t="s">
        <v>6</v>
      </c>
      <c r="I170" t="s">
        <v>0</v>
      </c>
      <c r="J170" t="s">
        <v>3</v>
      </c>
      <c r="K170" t="s">
        <v>4</v>
      </c>
      <c r="L170" t="s">
        <v>5</v>
      </c>
      <c r="M170" t="s">
        <v>6</v>
      </c>
      <c r="N170" t="s">
        <v>7</v>
      </c>
      <c r="O170" t="s">
        <v>5</v>
      </c>
      <c r="P170" t="s">
        <v>6</v>
      </c>
      <c r="Q170" t="s">
        <v>8</v>
      </c>
      <c r="R170" t="s">
        <v>5</v>
      </c>
      <c r="S170" t="s">
        <v>6</v>
      </c>
      <c r="T170" t="s">
        <v>7</v>
      </c>
      <c r="U170" t="s">
        <v>0</v>
      </c>
      <c r="V170" t="s">
        <v>9</v>
      </c>
      <c r="W170" t="s">
        <v>4</v>
      </c>
      <c r="X170" t="s">
        <v>5</v>
      </c>
      <c r="Y170" t="s">
        <v>6</v>
      </c>
      <c r="Z170" t="s">
        <v>7</v>
      </c>
      <c r="AA170" t="s">
        <v>5</v>
      </c>
      <c r="AB170" t="s">
        <v>6</v>
      </c>
      <c r="AC170" t="s">
        <v>7</v>
      </c>
      <c r="AD170" t="s">
        <v>5</v>
      </c>
      <c r="AE170" t="s">
        <v>6</v>
      </c>
      <c r="AF170" t="s">
        <v>7</v>
      </c>
    </row>
    <row r="171" spans="1:32" x14ac:dyDescent="0.2">
      <c r="A171">
        <v>1</v>
      </c>
      <c r="B171">
        <v>4</v>
      </c>
      <c r="C171">
        <v>0.97</v>
      </c>
      <c r="D171">
        <v>0.93</v>
      </c>
      <c r="E171">
        <v>0.97</v>
      </c>
      <c r="F171">
        <v>0.92</v>
      </c>
      <c r="G171">
        <v>9.6000000000000002E-2</v>
      </c>
      <c r="H171">
        <v>0</v>
      </c>
      <c r="J171">
        <v>1</v>
      </c>
      <c r="K171">
        <v>4</v>
      </c>
      <c r="L171">
        <v>0.97</v>
      </c>
      <c r="M171">
        <v>0.93</v>
      </c>
      <c r="N171">
        <v>1</v>
      </c>
      <c r="O171">
        <v>0.97</v>
      </c>
      <c r="P171">
        <v>0.92</v>
      </c>
      <c r="Q171">
        <v>1</v>
      </c>
      <c r="R171">
        <v>0.93200000000000005</v>
      </c>
      <c r="S171">
        <v>0.93</v>
      </c>
      <c r="T171">
        <v>0.222</v>
      </c>
      <c r="V171">
        <v>1</v>
      </c>
      <c r="W171">
        <v>4</v>
      </c>
      <c r="X171">
        <v>0.97</v>
      </c>
      <c r="Y171">
        <v>0.93</v>
      </c>
      <c r="Z171">
        <v>1</v>
      </c>
      <c r="AA171">
        <v>0.97</v>
      </c>
      <c r="AB171">
        <v>0.92</v>
      </c>
      <c r="AC171">
        <v>1</v>
      </c>
      <c r="AD171">
        <v>0.93200000000000005</v>
      </c>
      <c r="AE171">
        <v>0.93</v>
      </c>
      <c r="AF171">
        <v>0.222</v>
      </c>
    </row>
    <row r="172" spans="1:32" x14ac:dyDescent="0.2">
      <c r="A172">
        <v>2</v>
      </c>
      <c r="B172">
        <v>4</v>
      </c>
      <c r="C172">
        <v>1</v>
      </c>
      <c r="D172">
        <v>1</v>
      </c>
      <c r="E172">
        <v>0.99299999999999999</v>
      </c>
      <c r="F172">
        <v>0.93</v>
      </c>
      <c r="G172">
        <v>0.313</v>
      </c>
      <c r="H172">
        <v>0</v>
      </c>
      <c r="J172">
        <v>2</v>
      </c>
      <c r="K172">
        <v>4</v>
      </c>
      <c r="L172">
        <v>1</v>
      </c>
      <c r="M172">
        <v>1</v>
      </c>
      <c r="N172">
        <v>1</v>
      </c>
      <c r="O172">
        <v>0.99299999999999999</v>
      </c>
      <c r="P172">
        <v>0.93</v>
      </c>
      <c r="Q172">
        <v>1</v>
      </c>
      <c r="R172">
        <v>1</v>
      </c>
      <c r="S172">
        <v>1</v>
      </c>
      <c r="T172">
        <v>0</v>
      </c>
      <c r="V172">
        <v>2</v>
      </c>
      <c r="W172">
        <v>4</v>
      </c>
      <c r="X172">
        <v>1</v>
      </c>
      <c r="Y172">
        <v>1</v>
      </c>
      <c r="Z172">
        <v>1</v>
      </c>
      <c r="AA172">
        <v>0.99299999999999999</v>
      </c>
      <c r="AB172">
        <v>0.93</v>
      </c>
      <c r="AC172">
        <v>1</v>
      </c>
      <c r="AD172">
        <v>1</v>
      </c>
      <c r="AE172">
        <v>1</v>
      </c>
      <c r="AF172">
        <v>0</v>
      </c>
    </row>
    <row r="173" spans="1:32" x14ac:dyDescent="0.2">
      <c r="A173">
        <v>3</v>
      </c>
      <c r="B173">
        <v>4</v>
      </c>
      <c r="C173">
        <v>0.96799999999999997</v>
      </c>
      <c r="D173">
        <v>0.91</v>
      </c>
      <c r="E173">
        <v>0.96799999999999997</v>
      </c>
      <c r="F173">
        <v>0.91</v>
      </c>
      <c r="G173">
        <v>4.0000000000000001E-3</v>
      </c>
      <c r="H173">
        <v>0</v>
      </c>
      <c r="J173">
        <v>3</v>
      </c>
      <c r="K173">
        <v>4</v>
      </c>
      <c r="L173">
        <v>0.96799999999999997</v>
      </c>
      <c r="M173">
        <v>0.91</v>
      </c>
      <c r="N173">
        <v>1</v>
      </c>
      <c r="O173">
        <v>0.96799999999999997</v>
      </c>
      <c r="P173">
        <v>0.91</v>
      </c>
      <c r="Q173">
        <v>1</v>
      </c>
      <c r="R173">
        <v>0.7</v>
      </c>
      <c r="S173">
        <v>0.7</v>
      </c>
      <c r="T173">
        <v>0</v>
      </c>
      <c r="V173">
        <v>3</v>
      </c>
      <c r="W173">
        <v>4</v>
      </c>
      <c r="X173">
        <v>0.96799999999999997</v>
      </c>
      <c r="Y173">
        <v>0.91</v>
      </c>
      <c r="Z173">
        <v>1</v>
      </c>
      <c r="AA173">
        <v>0.96799999999999997</v>
      </c>
      <c r="AB173">
        <v>0.91</v>
      </c>
      <c r="AC173">
        <v>1</v>
      </c>
      <c r="AD173">
        <v>0.7</v>
      </c>
      <c r="AE173">
        <v>0.7</v>
      </c>
      <c r="AF173">
        <v>0</v>
      </c>
    </row>
    <row r="174" spans="1:32" x14ac:dyDescent="0.2">
      <c r="A174">
        <v>4</v>
      </c>
      <c r="B174">
        <v>4</v>
      </c>
      <c r="C174">
        <v>0.92900000000000005</v>
      </c>
      <c r="D174">
        <v>0.81</v>
      </c>
      <c r="E174">
        <v>0.92900000000000005</v>
      </c>
      <c r="F174">
        <v>0.81</v>
      </c>
      <c r="G174">
        <v>0.115</v>
      </c>
      <c r="H174">
        <v>0.09</v>
      </c>
      <c r="J174">
        <v>4</v>
      </c>
      <c r="K174">
        <v>4</v>
      </c>
      <c r="L174">
        <v>0.92900000000000005</v>
      </c>
      <c r="M174">
        <v>0.81</v>
      </c>
      <c r="N174">
        <v>1</v>
      </c>
      <c r="O174">
        <v>0.92900000000000005</v>
      </c>
      <c r="P174">
        <v>0.81</v>
      </c>
      <c r="Q174">
        <v>1</v>
      </c>
      <c r="R174">
        <v>0.66700000000000004</v>
      </c>
      <c r="S174">
        <v>0.66</v>
      </c>
      <c r="T174">
        <v>0</v>
      </c>
      <c r="V174">
        <v>4</v>
      </c>
      <c r="W174">
        <v>4</v>
      </c>
      <c r="X174">
        <v>0.92900000000000005</v>
      </c>
      <c r="Y174">
        <v>0.81</v>
      </c>
      <c r="Z174">
        <v>1</v>
      </c>
      <c r="AA174">
        <v>0.92900000000000005</v>
      </c>
      <c r="AB174">
        <v>0.81</v>
      </c>
      <c r="AC174">
        <v>1</v>
      </c>
      <c r="AD174">
        <v>0.66700000000000004</v>
      </c>
      <c r="AE174">
        <v>0.66</v>
      </c>
      <c r="AF174">
        <v>0</v>
      </c>
    </row>
    <row r="179" spans="1:32" x14ac:dyDescent="0.2">
      <c r="A179">
        <f>COUNT(A181:A185)</f>
        <v>4</v>
      </c>
      <c r="B179">
        <f>COUNTIF(B181:B185,"&gt;4")</f>
        <v>3</v>
      </c>
      <c r="D179" t="s">
        <v>0</v>
      </c>
      <c r="E179" t="s">
        <v>1</v>
      </c>
      <c r="F179" t="s">
        <v>0</v>
      </c>
      <c r="G179" t="s">
        <v>2</v>
      </c>
      <c r="H179" t="s">
        <v>0</v>
      </c>
      <c r="I179" t="s">
        <v>0</v>
      </c>
      <c r="J179">
        <f>COUNT(J181:J185)</f>
        <v>4</v>
      </c>
      <c r="K179">
        <f>COUNTIF(K181:K185,"&gt;4")</f>
        <v>2</v>
      </c>
      <c r="M179">
        <f>COUNTIF(M181:M185,1)</f>
        <v>0</v>
      </c>
      <c r="N179">
        <f>COUNTIF(N181:N185,1)</f>
        <v>2</v>
      </c>
      <c r="O179">
        <f>COUNTIF(O181:O185,"&gt;0")</f>
        <v>4</v>
      </c>
      <c r="P179">
        <f>COUNTIF(P181:P185,1)</f>
        <v>0</v>
      </c>
      <c r="Q179">
        <f>COUNTIF(Q181:Q185,1)</f>
        <v>2</v>
      </c>
      <c r="S179">
        <f>COUNTIF(S181:S185,1)</f>
        <v>0</v>
      </c>
      <c r="T179">
        <f>COUNTIFS(T181:T185,1,K181:K185,"&gt;4")</f>
        <v>2</v>
      </c>
      <c r="U179" t="s">
        <v>0</v>
      </c>
      <c r="V179">
        <f>COUNT(V181:V185)</f>
        <v>4</v>
      </c>
      <c r="W179">
        <f>COUNTIF(W181:W185,"&gt;4")</f>
        <v>2</v>
      </c>
      <c r="Y179">
        <f>COUNTIF(Y181:Y185,1)</f>
        <v>0</v>
      </c>
      <c r="Z179">
        <f>COUNTIF(Z181:Z185,1)</f>
        <v>2</v>
      </c>
      <c r="AA179">
        <f>COUNTIF(AA181:AA185,"&gt;0")</f>
        <v>4</v>
      </c>
      <c r="AB179">
        <f>COUNTIF(AB181:AB185,1)</f>
        <v>0</v>
      </c>
      <c r="AC179">
        <f>COUNTIF(AC181:AC185,1)</f>
        <v>2</v>
      </c>
      <c r="AE179">
        <f>COUNTIF(AE181:AE185,1)</f>
        <v>0</v>
      </c>
      <c r="AF179">
        <f>COUNTIFS(AF181:AF185,1,W181:W185,"&gt;4")</f>
        <v>2</v>
      </c>
    </row>
    <row r="180" spans="1:32" x14ac:dyDescent="0.2">
      <c r="A180" t="s">
        <v>3</v>
      </c>
      <c r="B180" t="s">
        <v>4</v>
      </c>
      <c r="C180" t="s">
        <v>5</v>
      </c>
      <c r="D180" t="s">
        <v>6</v>
      </c>
      <c r="E180" t="s">
        <v>5</v>
      </c>
      <c r="F180" t="s">
        <v>6</v>
      </c>
      <c r="G180" t="s">
        <v>5</v>
      </c>
      <c r="H180" t="s">
        <v>6</v>
      </c>
      <c r="I180" t="s">
        <v>0</v>
      </c>
      <c r="J180" t="s">
        <v>3</v>
      </c>
      <c r="K180" t="s">
        <v>4</v>
      </c>
      <c r="L180" t="s">
        <v>5</v>
      </c>
      <c r="M180" t="s">
        <v>6</v>
      </c>
      <c r="N180" t="s">
        <v>7</v>
      </c>
      <c r="O180" t="s">
        <v>5</v>
      </c>
      <c r="P180" t="s">
        <v>6</v>
      </c>
      <c r="Q180" t="s">
        <v>8</v>
      </c>
      <c r="R180" t="s">
        <v>5</v>
      </c>
      <c r="S180" t="s">
        <v>6</v>
      </c>
      <c r="T180" t="s">
        <v>7</v>
      </c>
      <c r="U180" t="s">
        <v>0</v>
      </c>
      <c r="V180" t="s">
        <v>9</v>
      </c>
      <c r="W180" t="s">
        <v>4</v>
      </c>
      <c r="X180" t="s">
        <v>5</v>
      </c>
      <c r="Y180" t="s">
        <v>6</v>
      </c>
      <c r="Z180" t="s">
        <v>7</v>
      </c>
      <c r="AA180" t="s">
        <v>5</v>
      </c>
      <c r="AB180" t="s">
        <v>6</v>
      </c>
      <c r="AC180" t="s">
        <v>7</v>
      </c>
      <c r="AD180" t="s">
        <v>5</v>
      </c>
      <c r="AE180" t="s">
        <v>6</v>
      </c>
      <c r="AF180" t="s">
        <v>7</v>
      </c>
    </row>
    <row r="181" spans="1:32" x14ac:dyDescent="0.2">
      <c r="A181">
        <v>1</v>
      </c>
      <c r="B181">
        <v>4</v>
      </c>
      <c r="C181">
        <v>0.72899999999999998</v>
      </c>
      <c r="D181">
        <v>0.19</v>
      </c>
      <c r="E181">
        <v>0.72299999999999998</v>
      </c>
      <c r="F181">
        <v>0.08</v>
      </c>
      <c r="G181">
        <v>0.14799999999999999</v>
      </c>
      <c r="H181">
        <v>0.01</v>
      </c>
      <c r="J181">
        <v>1</v>
      </c>
      <c r="K181">
        <v>5</v>
      </c>
      <c r="L181">
        <v>0.98299999999999998</v>
      </c>
      <c r="M181">
        <v>0.65</v>
      </c>
      <c r="N181">
        <v>1</v>
      </c>
      <c r="O181">
        <v>0.98099999999999998</v>
      </c>
      <c r="P181">
        <v>0.62</v>
      </c>
      <c r="Q181">
        <v>1</v>
      </c>
      <c r="R181">
        <v>0.91</v>
      </c>
      <c r="S181">
        <v>0.88</v>
      </c>
      <c r="T181">
        <v>1</v>
      </c>
      <c r="V181">
        <v>1</v>
      </c>
      <c r="W181">
        <v>5</v>
      </c>
      <c r="X181">
        <v>0.98299999999999998</v>
      </c>
      <c r="Y181">
        <v>0.65</v>
      </c>
      <c r="Z181">
        <v>1</v>
      </c>
      <c r="AA181">
        <v>0.98099999999999998</v>
      </c>
      <c r="AB181">
        <v>0.62</v>
      </c>
      <c r="AC181">
        <v>1</v>
      </c>
      <c r="AD181">
        <v>0.91</v>
      </c>
      <c r="AE181">
        <v>0.88</v>
      </c>
      <c r="AF181">
        <v>1</v>
      </c>
    </row>
    <row r="182" spans="1:32" x14ac:dyDescent="0.2">
      <c r="A182">
        <v>2</v>
      </c>
      <c r="B182">
        <v>5</v>
      </c>
      <c r="C182">
        <v>0.98299999999999998</v>
      </c>
      <c r="D182">
        <v>0.65</v>
      </c>
      <c r="E182">
        <v>0.98099999999999998</v>
      </c>
      <c r="F182">
        <v>0.62</v>
      </c>
      <c r="G182">
        <v>0.91</v>
      </c>
      <c r="H182">
        <v>0.88</v>
      </c>
      <c r="J182">
        <v>2</v>
      </c>
      <c r="K182">
        <v>4</v>
      </c>
      <c r="L182">
        <v>0.871</v>
      </c>
      <c r="M182">
        <v>0.74</v>
      </c>
      <c r="N182">
        <v>0.47599999999999998</v>
      </c>
      <c r="O182">
        <v>0.86399999999999999</v>
      </c>
      <c r="P182">
        <v>0.69</v>
      </c>
      <c r="Q182">
        <v>0.47599999999999998</v>
      </c>
      <c r="R182">
        <v>0.69899999999999995</v>
      </c>
      <c r="S182">
        <v>0.36</v>
      </c>
      <c r="T182">
        <v>0.36399999999999999</v>
      </c>
      <c r="V182">
        <v>2</v>
      </c>
      <c r="W182">
        <v>4</v>
      </c>
      <c r="X182">
        <v>0.871</v>
      </c>
      <c r="Y182">
        <v>0.74</v>
      </c>
      <c r="Z182">
        <v>0.47599999999999998</v>
      </c>
      <c r="AA182">
        <v>0.86399999999999999</v>
      </c>
      <c r="AB182">
        <v>0.69</v>
      </c>
      <c r="AC182">
        <v>0.47599999999999998</v>
      </c>
      <c r="AD182">
        <v>0.49</v>
      </c>
      <c r="AE182">
        <v>0.38</v>
      </c>
      <c r="AF182">
        <v>0</v>
      </c>
    </row>
    <row r="183" spans="1:32" x14ac:dyDescent="0.2">
      <c r="A183">
        <v>3</v>
      </c>
      <c r="B183">
        <v>5</v>
      </c>
      <c r="C183">
        <v>0.91</v>
      </c>
      <c r="D183">
        <v>0.53</v>
      </c>
      <c r="E183">
        <v>0.91</v>
      </c>
      <c r="F183">
        <v>0.53</v>
      </c>
      <c r="G183">
        <v>0.59</v>
      </c>
      <c r="H183">
        <v>0.57999999999999996</v>
      </c>
      <c r="J183">
        <v>3</v>
      </c>
      <c r="K183">
        <v>5</v>
      </c>
      <c r="L183">
        <v>0.91</v>
      </c>
      <c r="M183">
        <v>0.53</v>
      </c>
      <c r="N183">
        <v>1</v>
      </c>
      <c r="O183">
        <v>0.91</v>
      </c>
      <c r="P183">
        <v>0.53</v>
      </c>
      <c r="Q183">
        <v>1</v>
      </c>
      <c r="R183">
        <v>0.59</v>
      </c>
      <c r="S183">
        <v>0.57999999999999996</v>
      </c>
      <c r="T183">
        <v>1</v>
      </c>
      <c r="V183">
        <v>3</v>
      </c>
      <c r="W183">
        <v>5</v>
      </c>
      <c r="X183">
        <v>0.91</v>
      </c>
      <c r="Y183">
        <v>0.53</v>
      </c>
      <c r="Z183">
        <v>1</v>
      </c>
      <c r="AA183">
        <v>0.91</v>
      </c>
      <c r="AB183">
        <v>0.53</v>
      </c>
      <c r="AC183">
        <v>1</v>
      </c>
      <c r="AD183">
        <v>0.59</v>
      </c>
      <c r="AE183">
        <v>0.57999999999999996</v>
      </c>
      <c r="AF183">
        <v>1</v>
      </c>
    </row>
    <row r="184" spans="1:32" x14ac:dyDescent="0.2">
      <c r="A184">
        <v>4</v>
      </c>
      <c r="B184">
        <v>6</v>
      </c>
      <c r="C184">
        <v>0.85</v>
      </c>
      <c r="D184">
        <v>0.11</v>
      </c>
      <c r="E184">
        <v>0.84299999999999997</v>
      </c>
      <c r="F184">
        <v>0.1</v>
      </c>
      <c r="G184">
        <v>0.20799999999999999</v>
      </c>
      <c r="H184">
        <v>0.19</v>
      </c>
      <c r="J184">
        <v>4</v>
      </c>
      <c r="K184">
        <v>4</v>
      </c>
      <c r="L184">
        <v>0.86399999999999999</v>
      </c>
      <c r="M184">
        <v>0.17</v>
      </c>
      <c r="N184">
        <v>0.90500000000000003</v>
      </c>
      <c r="O184">
        <v>0.86399999999999999</v>
      </c>
      <c r="P184">
        <v>0.17</v>
      </c>
      <c r="Q184">
        <v>0.90500000000000003</v>
      </c>
      <c r="R184">
        <v>0.66700000000000004</v>
      </c>
      <c r="S184">
        <v>0.11</v>
      </c>
      <c r="T184">
        <v>0.21099999999999999</v>
      </c>
      <c r="V184">
        <v>4</v>
      </c>
      <c r="W184">
        <v>4</v>
      </c>
      <c r="X184">
        <v>0.87</v>
      </c>
      <c r="Y184">
        <v>0.31</v>
      </c>
      <c r="Z184">
        <v>0.90500000000000003</v>
      </c>
      <c r="AA184">
        <v>0.86199999999999999</v>
      </c>
      <c r="AB184">
        <v>0.18</v>
      </c>
      <c r="AC184">
        <v>0.90500000000000003</v>
      </c>
      <c r="AD184">
        <v>0.67300000000000004</v>
      </c>
      <c r="AE184">
        <v>0.24</v>
      </c>
      <c r="AF184">
        <v>0.222</v>
      </c>
    </row>
    <row r="189" spans="1:32" x14ac:dyDescent="0.2">
      <c r="A189">
        <f>COUNT(A191:A195)</f>
        <v>4</v>
      </c>
      <c r="B189">
        <f>COUNTIF(B191:B195,"&gt;4")</f>
        <v>3</v>
      </c>
      <c r="D189" t="s">
        <v>0</v>
      </c>
      <c r="E189" t="s">
        <v>1</v>
      </c>
      <c r="F189" t="s">
        <v>0</v>
      </c>
      <c r="G189" t="s">
        <v>2</v>
      </c>
      <c r="H189" t="s">
        <v>0</v>
      </c>
      <c r="I189" t="s">
        <v>0</v>
      </c>
      <c r="J189">
        <f>COUNT(J191:J195)</f>
        <v>3</v>
      </c>
      <c r="K189">
        <f>COUNTIF(K191:K195,"&gt;4")</f>
        <v>2</v>
      </c>
      <c r="M189">
        <f>COUNTIF(M191:M195,1)</f>
        <v>0</v>
      </c>
      <c r="N189">
        <f>COUNTIF(N191:N195,1)</f>
        <v>0</v>
      </c>
      <c r="O189">
        <f>COUNTIF(O191:O195,"&gt;0")</f>
        <v>3</v>
      </c>
      <c r="P189">
        <f>COUNTIF(P191:P195,1)</f>
        <v>0</v>
      </c>
      <c r="Q189">
        <f>COUNTIF(Q191:Q195,1)</f>
        <v>0</v>
      </c>
      <c r="S189">
        <f>COUNTIF(S191:S195,1)</f>
        <v>0</v>
      </c>
      <c r="T189">
        <f>COUNTIFS(T191:T195,1,K191:K195,"&gt;4")</f>
        <v>1</v>
      </c>
      <c r="U189" t="s">
        <v>0</v>
      </c>
      <c r="V189">
        <f>COUNT(V191:V195)</f>
        <v>3</v>
      </c>
      <c r="W189">
        <f>COUNTIF(W191:W195,"&gt;4")</f>
        <v>2</v>
      </c>
      <c r="Y189">
        <f>COUNTIF(Y191:Y195,1)</f>
        <v>0</v>
      </c>
      <c r="Z189">
        <f>COUNTIF(Z191:Z195,1)</f>
        <v>1</v>
      </c>
      <c r="AA189">
        <f>COUNTIF(AA191:AA195,"&gt;0")</f>
        <v>3</v>
      </c>
      <c r="AB189">
        <f>COUNTIF(AB191:AB195,1)</f>
        <v>0</v>
      </c>
      <c r="AC189">
        <f>COUNTIF(AC191:AC195,1)</f>
        <v>1</v>
      </c>
      <c r="AE189">
        <f>COUNTIF(AE191:AE195,1)</f>
        <v>0</v>
      </c>
      <c r="AF189">
        <f>COUNTIFS(AF191:AF195,1,W191:W195,"&gt;4")</f>
        <v>2</v>
      </c>
    </row>
    <row r="190" spans="1:32" x14ac:dyDescent="0.2">
      <c r="A190" t="s">
        <v>3</v>
      </c>
      <c r="B190" t="s">
        <v>4</v>
      </c>
      <c r="C190" t="s">
        <v>5</v>
      </c>
      <c r="D190" t="s">
        <v>6</v>
      </c>
      <c r="E190" t="s">
        <v>5</v>
      </c>
      <c r="F190" t="s">
        <v>6</v>
      </c>
      <c r="G190" t="s">
        <v>5</v>
      </c>
      <c r="H190" t="s">
        <v>6</v>
      </c>
      <c r="I190" t="s">
        <v>0</v>
      </c>
      <c r="J190" t="s">
        <v>3</v>
      </c>
      <c r="K190" t="s">
        <v>4</v>
      </c>
      <c r="L190" t="s">
        <v>5</v>
      </c>
      <c r="M190" t="s">
        <v>6</v>
      </c>
      <c r="N190" t="s">
        <v>7</v>
      </c>
      <c r="O190" t="s">
        <v>5</v>
      </c>
      <c r="P190" t="s">
        <v>6</v>
      </c>
      <c r="Q190" t="s">
        <v>8</v>
      </c>
      <c r="R190" t="s">
        <v>5</v>
      </c>
      <c r="S190" t="s">
        <v>6</v>
      </c>
      <c r="T190" t="s">
        <v>7</v>
      </c>
      <c r="U190" t="s">
        <v>0</v>
      </c>
      <c r="V190" t="s">
        <v>9</v>
      </c>
      <c r="W190" t="s">
        <v>4</v>
      </c>
      <c r="X190" t="s">
        <v>5</v>
      </c>
      <c r="Y190" t="s">
        <v>6</v>
      </c>
      <c r="Z190" t="s">
        <v>7</v>
      </c>
      <c r="AA190" t="s">
        <v>5</v>
      </c>
      <c r="AB190" t="s">
        <v>6</v>
      </c>
      <c r="AC190" t="s">
        <v>7</v>
      </c>
      <c r="AD190" t="s">
        <v>5</v>
      </c>
      <c r="AE190" t="s">
        <v>6</v>
      </c>
      <c r="AF190" t="s">
        <v>7</v>
      </c>
    </row>
    <row r="191" spans="1:32" x14ac:dyDescent="0.2">
      <c r="A191">
        <v>1</v>
      </c>
      <c r="B191">
        <v>7</v>
      </c>
      <c r="C191">
        <v>0.96799999999999997</v>
      </c>
      <c r="D191">
        <v>0.56999999999999995</v>
      </c>
      <c r="E191">
        <v>0.96299999999999997</v>
      </c>
      <c r="F191">
        <v>0.47</v>
      </c>
      <c r="G191">
        <v>0.98</v>
      </c>
      <c r="H191">
        <v>0.98</v>
      </c>
      <c r="J191">
        <v>1</v>
      </c>
      <c r="K191">
        <v>6</v>
      </c>
      <c r="L191">
        <v>0.96</v>
      </c>
      <c r="M191">
        <v>0.19</v>
      </c>
      <c r="N191">
        <v>0.95199999999999996</v>
      </c>
      <c r="O191">
        <v>0.96</v>
      </c>
      <c r="P191">
        <v>0.19</v>
      </c>
      <c r="Q191">
        <v>0.95199999999999996</v>
      </c>
      <c r="R191">
        <v>0.98</v>
      </c>
      <c r="S191">
        <v>0.98</v>
      </c>
      <c r="T191">
        <v>1</v>
      </c>
      <c r="V191">
        <v>1</v>
      </c>
      <c r="W191">
        <v>7</v>
      </c>
      <c r="X191">
        <v>0.96799999999999997</v>
      </c>
      <c r="Y191">
        <v>0.56999999999999995</v>
      </c>
      <c r="Z191">
        <v>1</v>
      </c>
      <c r="AA191">
        <v>0.96299999999999997</v>
      </c>
      <c r="AB191">
        <v>0.47</v>
      </c>
      <c r="AC191">
        <v>1</v>
      </c>
      <c r="AD191">
        <v>0.98</v>
      </c>
      <c r="AE191">
        <v>0.98</v>
      </c>
      <c r="AF191">
        <v>1</v>
      </c>
    </row>
    <row r="192" spans="1:32" x14ac:dyDescent="0.2">
      <c r="A192">
        <v>2</v>
      </c>
      <c r="B192">
        <v>6</v>
      </c>
      <c r="C192">
        <v>0.94699999999999995</v>
      </c>
      <c r="D192">
        <v>0.28000000000000003</v>
      </c>
      <c r="E192">
        <v>0.92500000000000004</v>
      </c>
      <c r="F192">
        <v>0.13</v>
      </c>
      <c r="G192">
        <v>0.441</v>
      </c>
      <c r="H192">
        <v>0.44</v>
      </c>
      <c r="J192">
        <v>2</v>
      </c>
      <c r="K192">
        <v>5</v>
      </c>
      <c r="L192">
        <v>0.95099999999999996</v>
      </c>
      <c r="M192">
        <v>0.36</v>
      </c>
      <c r="N192">
        <v>0.95199999999999996</v>
      </c>
      <c r="O192">
        <v>0.92900000000000005</v>
      </c>
      <c r="P192">
        <v>7.0000000000000007E-2</v>
      </c>
      <c r="Q192">
        <v>0.95199999999999996</v>
      </c>
      <c r="R192">
        <v>0.13900000000000001</v>
      </c>
      <c r="S192">
        <v>0.11</v>
      </c>
      <c r="T192">
        <v>0</v>
      </c>
      <c r="V192">
        <v>2</v>
      </c>
      <c r="W192">
        <v>5</v>
      </c>
      <c r="X192">
        <v>0.95099999999999996</v>
      </c>
      <c r="Y192">
        <v>0.36</v>
      </c>
      <c r="Z192">
        <v>0.95199999999999996</v>
      </c>
      <c r="AA192">
        <v>0.92400000000000004</v>
      </c>
      <c r="AB192">
        <v>0.14000000000000001</v>
      </c>
      <c r="AC192">
        <v>0.90500000000000003</v>
      </c>
      <c r="AD192">
        <v>0.441</v>
      </c>
      <c r="AE192">
        <v>0.44</v>
      </c>
      <c r="AF192">
        <v>1</v>
      </c>
    </row>
    <row r="193" spans="1:32" x14ac:dyDescent="0.2">
      <c r="A193">
        <v>3</v>
      </c>
      <c r="B193">
        <v>5</v>
      </c>
      <c r="C193">
        <v>0.95399999999999996</v>
      </c>
      <c r="D193">
        <v>0.11</v>
      </c>
      <c r="E193">
        <v>0.95299999999999996</v>
      </c>
      <c r="F193">
        <v>0.11</v>
      </c>
      <c r="G193">
        <v>5.6000000000000001E-2</v>
      </c>
      <c r="H193">
        <v>0.02</v>
      </c>
      <c r="J193">
        <v>3</v>
      </c>
      <c r="K193">
        <v>4</v>
      </c>
      <c r="L193">
        <v>0.96299999999999997</v>
      </c>
      <c r="M193">
        <v>0.6</v>
      </c>
      <c r="N193">
        <v>0.95199999999999996</v>
      </c>
      <c r="O193">
        <v>0.96299999999999997</v>
      </c>
      <c r="P193">
        <v>0.59</v>
      </c>
      <c r="Q193">
        <v>0.95199999999999996</v>
      </c>
      <c r="R193">
        <v>0.61499999999999999</v>
      </c>
      <c r="S193">
        <v>0.61</v>
      </c>
      <c r="T193">
        <v>0</v>
      </c>
      <c r="V193">
        <v>3</v>
      </c>
      <c r="W193">
        <v>4</v>
      </c>
      <c r="X193">
        <v>0.96299999999999997</v>
      </c>
      <c r="Y193">
        <v>0.6</v>
      </c>
      <c r="Z193">
        <v>0.95199999999999996</v>
      </c>
      <c r="AA193">
        <v>0.96299999999999997</v>
      </c>
      <c r="AB193">
        <v>0.59</v>
      </c>
      <c r="AC193">
        <v>0.95199999999999996</v>
      </c>
      <c r="AD193">
        <v>0.61499999999999999</v>
      </c>
      <c r="AE193">
        <v>0.61</v>
      </c>
      <c r="AF193">
        <v>0</v>
      </c>
    </row>
    <row r="194" spans="1:32" x14ac:dyDescent="0.2">
      <c r="A194">
        <v>4</v>
      </c>
      <c r="B194">
        <v>4</v>
      </c>
      <c r="C194">
        <v>0.66200000000000003</v>
      </c>
      <c r="D194">
        <v>0.03</v>
      </c>
      <c r="E194">
        <v>0.66200000000000003</v>
      </c>
      <c r="F194">
        <v>0.02</v>
      </c>
      <c r="G194">
        <v>1.7000000000000001E-2</v>
      </c>
      <c r="H194">
        <v>0</v>
      </c>
    </row>
    <row r="197" spans="1:32" x14ac:dyDescent="0.2">
      <c r="A197">
        <f>A189+A179+A151+A142+A132+A122+A113+A93+A84+A73+A63+A54+A45+A35+A24+A14+A4+A169+A159+A103</f>
        <v>67</v>
      </c>
      <c r="B197">
        <f>B189+B179+B151+B142+B132+B122+B113+B93+B84+B73+B63+B54+B45+B35+B24+B14+B4+B169+B159+B103</f>
        <v>34</v>
      </c>
      <c r="J197">
        <f>J189+J179+J151+J142+J132+J122+J113+J93+J84+J73+J63+J54+J45+J35+J24+J14+J4+J169+J159+J103</f>
        <v>61</v>
      </c>
      <c r="K197">
        <f>K189+K179+K151+K142+K132+K122+K113+K93+K84+K73+K63+K54+K45+K35+K24+K14+K4+K169+K159+K103</f>
        <v>23</v>
      </c>
      <c r="M197">
        <f>M189+M179+M151+M142+M132+M122+M113+M93+M84+M73+M63+M54+M45+M35+M24+M14+M4+M169+M159+M103</f>
        <v>1</v>
      </c>
      <c r="N197">
        <f>N189+N179+N151+N142+N132+N122+N113+N93+N84+N73+N63+N54+N45+N35+N24+N14+N4+N169+N159+N103</f>
        <v>35</v>
      </c>
      <c r="O197">
        <f>O189+O179+O151+O142+O132+O122+O113+O93+O84+O73+O63+O54+O45+O35+O24+O14+O4+O169+O159+O103</f>
        <v>61</v>
      </c>
      <c r="Q197">
        <f>Q189+Q179+Q151+Q142+Q132+Q122+Q113+Q93+Q84+Q73+Q63+Q54+Q45+Q35+Q24+Q14+Q4+Q169+Q159+Q103</f>
        <v>35</v>
      </c>
      <c r="R197">
        <f>R189+R179+R151+R142+R132+R122+R113+R93+R84+R73+R63+R54+R45+R35+R24+R14+R4+R169+R159+R103</f>
        <v>0</v>
      </c>
      <c r="S197">
        <f>S189+S179+S151+S142+S132+S122+S113+S93+S84+S73+S63+S54+S45+S35+S24+S14+S4+S169+S159+S103</f>
        <v>3</v>
      </c>
      <c r="T197">
        <f>T189+T179+T151+T142+T132+T122+T113+T93+T84+T73+T63+T54+T45+T35+T24+T14+T4+T169+T159+T103</f>
        <v>18</v>
      </c>
      <c r="V197">
        <f>V189+V179+V151+V142+V132+V122+V113+V93+V84+V73+V63+V54+V45+V35+V24+V14+V4+V169+V159+V103</f>
        <v>68</v>
      </c>
      <c r="W197">
        <f>W189+W179+W151+W142+W132+W122+W113+W93+W84+W73+W63+W54+W45+W35+W24+W14+W4+W169+W159+W103</f>
        <v>23</v>
      </c>
      <c r="Y197">
        <f>Y189+Y179+Y151+Y142+Y132+Y122+Y113+Y93+Y84+Y73+Y63+Y54+Y45+Y35+Y24+Y14+Y4+Y169+Y159+Y103</f>
        <v>1</v>
      </c>
      <c r="Z197">
        <f>Z189+Z179+Z151+Z142+Z132+Z122+Z113+Z93+Z84+Z73+Z63+Z54+Z45+Z35+Z24+Z14+Z4+Z169+Z159+Z103</f>
        <v>41</v>
      </c>
      <c r="AA197">
        <f>AA189+AA179+AA151+AA142+AA132+AA122+AA113+AA93+AA84+AA73+AA63+AA54+AA45+AA35+AA24+AA14+AA4+AA169+AA159+AA103</f>
        <v>68</v>
      </c>
      <c r="AC197">
        <f>AC189+AC179+AC151+AC142+AC132+AC122+AC113+AC93+AC84+AC73+AC63+AC54+AC45+AC35+AC24+AC14+AC4+AC169+AC159+AC103</f>
        <v>40</v>
      </c>
      <c r="AD197">
        <f>AD189+AD179+AD151+AD142+AD132+AD122+AD113+AD93+AD84+AD73+AD63+AD54+AD45+AD35+AD24+AD14+AD4+AD169+AD159+AD103</f>
        <v>0</v>
      </c>
      <c r="AE197">
        <f>AE189+AE179+AE151+AE142+AE132+AE122+AE113+AE93+AE84+AE73+AE63+AE54+AE45+AE35+AE24+AE14+AE4+AE169+AE159+AE103</f>
        <v>3</v>
      </c>
      <c r="AF197">
        <f>AF189+AF179+AF151+AF142+AF132+AF122+AF113+AF93+AF84+AF73+AF63+AF54+AF45+AF35+AF24+AF14+AF4+AF169+AF159+AF103</f>
        <v>21</v>
      </c>
    </row>
    <row r="199" spans="1:32" x14ac:dyDescent="0.2">
      <c r="N199" s="1">
        <f>N197/J197</f>
        <v>0.57377049180327866</v>
      </c>
      <c r="Q199" s="1">
        <f>Q197/J197</f>
        <v>0.57377049180327866</v>
      </c>
      <c r="T199" s="1">
        <f>T197/K197</f>
        <v>0.78260869565217395</v>
      </c>
      <c r="Z199" s="1">
        <f>Z197/V197</f>
        <v>0.6029411764705882</v>
      </c>
      <c r="AC199" s="1">
        <f>AC197/V197</f>
        <v>0.58823529411764708</v>
      </c>
      <c r="AF199" s="1">
        <f>AF197/W197</f>
        <v>0.91304347826086951</v>
      </c>
    </row>
    <row r="200" spans="1:32" x14ac:dyDescent="0.2">
      <c r="N200" s="1">
        <f>N197/$A$205</f>
        <v>0.52238805970149249</v>
      </c>
      <c r="Q200" s="1">
        <f>Q197/$A$205</f>
        <v>0.52238805970149249</v>
      </c>
      <c r="T200" s="1">
        <f>T197/$B$205</f>
        <v>0.52941176470588236</v>
      </c>
      <c r="Z200" s="1">
        <f>Z197/$A$205</f>
        <v>0.61194029850746268</v>
      </c>
      <c r="AC200" s="1">
        <f>AC197/$A$205</f>
        <v>0.59701492537313428</v>
      </c>
      <c r="AF200" s="1">
        <f>AF197/$B$205</f>
        <v>0.61764705882352944</v>
      </c>
    </row>
    <row r="205" spans="1:32" x14ac:dyDescent="0.2">
      <c r="A205">
        <f>A197</f>
        <v>67</v>
      </c>
      <c r="B205">
        <f>B197</f>
        <v>34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006512736</dc:creator>
  <cp:lastModifiedBy>Hector Banos Cervantes</cp:lastModifiedBy>
  <dcterms:created xsi:type="dcterms:W3CDTF">2026-07-06T19:40:35Z</dcterms:created>
  <dcterms:modified xsi:type="dcterms:W3CDTF">2026-07-06T22:16:30Z</dcterms:modified>
</cp:coreProperties>
</file>